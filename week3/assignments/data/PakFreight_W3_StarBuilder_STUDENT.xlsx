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hipments_Unified" sheetId="2" state="visible" r:id="rId2"/>
    <sheet xmlns:r="http://schemas.openxmlformats.org/officeDocument/2006/relationships" name="T1 Classify" sheetId="3" state="visible" r:id="rId3"/>
    <sheet xmlns:r="http://schemas.openxmlformats.org/officeDocument/2006/relationships" name="T2 Grain" sheetId="4" state="visible" r:id="rId4"/>
    <sheet xmlns:r="http://schemas.openxmlformats.org/officeDocument/2006/relationships" name="T3 Additivity" sheetId="5" state="visible" r:id="rId5"/>
    <sheet xmlns:r="http://schemas.openxmlformats.org/officeDocument/2006/relationships" name="T4 DimCity" sheetId="6" state="visible" r:id="rId6"/>
    <sheet xmlns:r="http://schemas.openxmlformats.org/officeDocument/2006/relationships" name="T5 Other Dimensions" sheetId="7" state="visible" r:id="rId7"/>
    <sheet xmlns:r="http://schemas.openxmlformats.org/officeDocument/2006/relationships" name="T6 FactShipment" sheetId="8" state="visible" r:id="rId8"/>
    <sheet xmlns:r="http://schemas.openxmlformats.org/officeDocument/2006/relationships" name="T7 Reconcile" sheetId="9" state="visible" r:id="rId9"/>
  </sheets>
  <definedNames/>
  <calcPr calcId="124519" fullCalcOnLoad="1"/>
</workbook>
</file>

<file path=xl/styles.xml><?xml version="1.0" encoding="utf-8"?>
<styleSheet xmlns="http://schemas.openxmlformats.org/spreadsheetml/2006/main">
  <numFmts count="3">
    <numFmt numFmtId="164" formatCode="yyyy-mm-dd"/>
    <numFmt numFmtId="165" formatCode="dd-mmm-yyyy"/>
    <numFmt numFmtId="166" formatCode="0.0000"/>
  </numFmts>
  <fonts count="16">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sz val="10"/>
    </font>
    <font>
      <name val="Calibri"/>
      <b val="1"/>
      <color rgb="00FFFFFF"/>
      <sz val="10"/>
    </font>
    <font>
      <name val="Calibri"/>
      <b val="1"/>
      <color rgb="00005A8C"/>
      <sz val="10"/>
    </font>
    <font>
      <name val="Calibri"/>
      <color rgb="005B6573"/>
      <sz val="9"/>
    </font>
    <font>
      <name val="Calibri"/>
      <b val="1"/>
      <sz val="10"/>
    </font>
    <font>
      <name val="Consolas"/>
      <sz val="9"/>
    </font>
    <font>
      <name val="Calibri"/>
      <i val="1"/>
      <color rgb="007A4E00"/>
      <sz val="9"/>
    </font>
    <font>
      <name val="Calibri"/>
      <b val="1"/>
      <color rgb="00922B21"/>
      <sz val="10"/>
    </font>
    <font>
      <name val="Calibri"/>
      <b val="1"/>
      <color rgb="007A4E00"/>
      <sz val="9"/>
    </font>
    <font>
      <name val="Calibri"/>
      <b val="1"/>
      <color rgb="0016202E"/>
      <sz val="12"/>
    </font>
    <font>
      <name val="Calibri"/>
      <b val="1"/>
      <sz val="12"/>
    </font>
  </fonts>
  <fills count="17">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8DC"/>
      </patternFill>
    </fill>
    <fill>
      <patternFill patternType="solid">
        <fgColor rgb="00EDF1F5"/>
      </patternFill>
    </fill>
    <fill>
      <patternFill patternType="solid">
        <fgColor rgb="00D5F5E3"/>
      </patternFill>
    </fill>
    <fill>
      <patternFill patternType="solid">
        <fgColor rgb="00FADBD8"/>
      </patternFill>
    </fill>
    <fill>
      <patternFill patternType="solid">
        <fgColor rgb="00E8F6EF"/>
      </patternFill>
    </fill>
    <fill>
      <patternFill patternType="solid">
        <fgColor rgb="00FFF3CD"/>
      </patternFill>
    </fill>
    <fill>
      <patternFill patternType="solid">
        <fgColor rgb="00FDEDEC"/>
      </patternFill>
    </fill>
    <fill>
      <patternFill patternType="solid">
        <fgColor rgb="005B6573"/>
      </patternFill>
    </fill>
    <fill>
      <patternFill patternType="solid">
        <fgColor rgb="007A4E00"/>
      </patternFill>
    </fill>
    <fill>
      <patternFill patternType="solid">
        <fgColor rgb="00FDF6E3"/>
      </patternFill>
    </fill>
  </fills>
  <borders count="6">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0" borderId="0" applyAlignment="1" pivotButton="0" quotePrefix="0" xfId="0">
      <alignment vertical="top" wrapText="1"/>
    </xf>
    <xf numFmtId="0" fontId="6" fillId="6" borderId="1" applyAlignment="1" pivotButton="0" quotePrefix="0" xfId="0">
      <alignment horizontal="center" vertical="center" wrapText="1"/>
    </xf>
    <xf numFmtId="0" fontId="7"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8" fillId="0" borderId="1" applyAlignment="1" pivotButton="0" quotePrefix="0" xfId="0">
      <alignment vertical="top" wrapText="1"/>
    </xf>
    <xf numFmtId="0" fontId="9" fillId="0" borderId="1" applyAlignment="1" pivotButton="0" quotePrefix="0" xfId="0">
      <alignment horizontal="right"/>
    </xf>
    <xf numFmtId="0" fontId="9" fillId="0" borderId="1" applyAlignment="1" pivotButton="0" quotePrefix="0" xfId="0">
      <alignment horizontal="center" vertical="center"/>
    </xf>
    <xf numFmtId="0" fontId="5" fillId="7" borderId="1" pivotButton="0" quotePrefix="0" xfId="0"/>
    <xf numFmtId="0" fontId="5" fillId="8" borderId="1" pivotButton="0" quotePrefix="0" xfId="0"/>
    <xf numFmtId="0" fontId="5" fillId="9" borderId="1" pivotButton="0" quotePrefix="0" xfId="0"/>
    <xf numFmtId="0" fontId="5" fillId="10" borderId="1" pivotButton="0" quotePrefix="0" xfId="0"/>
    <xf numFmtId="0" fontId="5" fillId="11" borderId="1" pivotButton="0" quotePrefix="0" xfId="0"/>
    <xf numFmtId="0" fontId="5" fillId="8" borderId="1" applyAlignment="1" pivotButton="0" quotePrefix="0" xfId="0">
      <alignment vertical="top" wrapText="1"/>
    </xf>
    <xf numFmtId="0" fontId="5" fillId="7" borderId="1" applyAlignment="1" pivotButton="0" quotePrefix="0" xfId="0">
      <alignment vertical="top" wrapText="1"/>
    </xf>
    <xf numFmtId="0" fontId="10" fillId="8" borderId="1" pivotButton="0" quotePrefix="0" xfId="0"/>
    <xf numFmtId="165" fontId="5" fillId="8" borderId="1" pivotButton="0" quotePrefix="0" xfId="0"/>
    <xf numFmtId="3" fontId="5" fillId="8" borderId="1" pivotButton="0" quotePrefix="0" xfId="0"/>
    <xf numFmtId="3" fontId="9" fillId="0" borderId="1" pivotButton="0" quotePrefix="0" xfId="0"/>
    <xf numFmtId="0" fontId="11" fillId="12" borderId="0" applyAlignment="1" pivotButton="0" quotePrefix="0" xfId="0">
      <alignment vertical="center" wrapText="1" indent="1"/>
    </xf>
    <xf numFmtId="0" fontId="5" fillId="7" borderId="1" applyAlignment="1" pivotButton="0" quotePrefix="0" xfId="0">
      <alignment horizontal="center" vertical="center"/>
    </xf>
    <xf numFmtId="0" fontId="5" fillId="4" borderId="1" applyAlignment="1" pivotButton="0" quotePrefix="0" xfId="0">
      <alignment vertical="top" wrapText="1"/>
    </xf>
    <xf numFmtId="0" fontId="5" fillId="0" borderId="0" pivotButton="0" quotePrefix="0" xfId="0"/>
    <xf numFmtId="0" fontId="8" fillId="5" borderId="1" applyAlignment="1" pivotButton="0" quotePrefix="0" xfId="0">
      <alignment vertical="top" wrapText="1"/>
    </xf>
    <xf numFmtId="0" fontId="5" fillId="13" borderId="1" applyAlignment="1" pivotButton="0" quotePrefix="0" xfId="0">
      <alignment vertical="top" wrapText="1"/>
    </xf>
    <xf numFmtId="0" fontId="10" fillId="8" borderId="1" applyAlignment="1" pivotButton="0" quotePrefix="0" xfId="0">
      <alignment vertical="top" wrapText="1"/>
    </xf>
    <xf numFmtId="166" fontId="10" fillId="8" borderId="1" applyAlignment="1" pivotButton="0" quotePrefix="0" xfId="0">
      <alignment horizontal="center" vertical="center"/>
    </xf>
    <xf numFmtId="10" fontId="10" fillId="8" borderId="1" applyAlignment="1" pivotButton="0" quotePrefix="0" xfId="0">
      <alignment horizontal="center" vertical="center"/>
    </xf>
    <xf numFmtId="0" fontId="8" fillId="0" borderId="0" applyAlignment="1" pivotButton="0" quotePrefix="0" xfId="0">
      <alignment vertical="top" wrapText="1"/>
    </xf>
    <xf numFmtId="0" fontId="9" fillId="8" borderId="1" applyAlignment="1" pivotButton="0" quotePrefix="0" xfId="0">
      <alignment horizontal="center" vertical="center"/>
    </xf>
    <xf numFmtId="0" fontId="8" fillId="7" borderId="1" applyAlignment="1" pivotButton="0" quotePrefix="0" xfId="0">
      <alignment vertical="top" wrapText="1"/>
    </xf>
    <xf numFmtId="0" fontId="5" fillId="8" borderId="1" applyAlignment="1" pivotButton="0" quotePrefix="0" xfId="0">
      <alignment horizontal="center" vertical="center"/>
    </xf>
    <xf numFmtId="0" fontId="12" fillId="13" borderId="1" applyAlignment="1" pivotButton="0" quotePrefix="0" xfId="0">
      <alignment vertical="top" wrapText="1"/>
    </xf>
    <xf numFmtId="0" fontId="8" fillId="8" borderId="1" applyAlignment="1" pivotButton="0" quotePrefix="0" xfId="0">
      <alignment vertical="top" wrapText="1"/>
    </xf>
    <xf numFmtId="0" fontId="13" fillId="0" borderId="1" applyAlignment="1" pivotButton="0" quotePrefix="0" xfId="0">
      <alignment vertical="top" wrapText="1"/>
    </xf>
    <xf numFmtId="0" fontId="0" fillId="0" borderId="4" pivotButton="0" quotePrefix="0" xfId="0"/>
    <xf numFmtId="0" fontId="0" fillId="0" borderId="5" pivotButton="0" quotePrefix="0" xfId="0"/>
    <xf numFmtId="165" fontId="5" fillId="8" borderId="1" applyAlignment="1" pivotButton="0" quotePrefix="0" xfId="0">
      <alignment horizontal="center" vertical="center"/>
    </xf>
    <xf numFmtId="0" fontId="5" fillId="0" borderId="1" applyAlignment="1" pivotButton="0" quotePrefix="0" xfId="0">
      <alignment horizontal="right"/>
    </xf>
    <xf numFmtId="0" fontId="6" fillId="14" borderId="1" applyAlignment="1" pivotButton="0" quotePrefix="0" xfId="0">
      <alignment horizontal="center" vertical="center"/>
    </xf>
    <xf numFmtId="0" fontId="6" fillId="6" borderId="1" applyAlignment="1" pivotButton="0" quotePrefix="0" xfId="0">
      <alignment horizontal="center" vertical="center"/>
    </xf>
    <xf numFmtId="0" fontId="6" fillId="15" borderId="1" applyAlignment="1" pivotButton="0" quotePrefix="0" xfId="0">
      <alignment horizontal="center" vertical="center"/>
    </xf>
    <xf numFmtId="3" fontId="5" fillId="7" borderId="1" applyAlignment="1" pivotButton="0" quotePrefix="0" xfId="0">
      <alignment horizontal="center" vertical="center"/>
    </xf>
    <xf numFmtId="0" fontId="8" fillId="16" borderId="1" applyAlignment="1" pivotButton="0" quotePrefix="0" xfId="0">
      <alignment horizontal="center" vertical="center"/>
    </xf>
    <xf numFmtId="0" fontId="9" fillId="0" borderId="1" pivotButton="0" quotePrefix="0" xfId="0"/>
    <xf numFmtId="3" fontId="9" fillId="0" borderId="1" applyAlignment="1" pivotButton="0" quotePrefix="0" xfId="0">
      <alignment horizontal="center" vertical="center"/>
    </xf>
    <xf numFmtId="3" fontId="5" fillId="8" borderId="1" applyAlignment="1" pivotButton="0" quotePrefix="0" xfId="0">
      <alignment horizontal="center" vertical="center"/>
    </xf>
    <xf numFmtId="2" fontId="9" fillId="0" borderId="1" applyAlignment="1" pivotButton="0" quotePrefix="0" xfId="0">
      <alignment horizontal="center" vertical="center"/>
    </xf>
    <xf numFmtId="166" fontId="5" fillId="8" borderId="1" applyAlignment="1" pivotButton="0" quotePrefix="0" xfId="0">
      <alignment horizontal="center" vertical="center"/>
    </xf>
    <xf numFmtId="0" fontId="14" fillId="0" borderId="1" applyAlignment="1" pivotButton="0" quotePrefix="0" xfId="0">
      <alignment horizontal="right"/>
    </xf>
    <xf numFmtId="0" fontId="15" fillId="0" borderId="1" applyAlignment="1" pivotButton="0" quotePrefix="0" xfId="0">
      <alignment horizontal="center" vertical="center"/>
    </xf>
    <xf numFmtId="0" fontId="8"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202E"/>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46" customWidth="1" min="3" max="3"/>
    <col width="12" customWidth="1" min="4" max="4"/>
    <col width="12" customWidth="1" min="5" max="5"/>
    <col width="34" customWidth="1" min="6" max="6"/>
    <col width="14" customWidth="1" min="7" max="7"/>
    <col width="14" customWidth="1" min="8" max="8"/>
    <col width="14" customWidth="1" min="9" max="9"/>
    <col width="14" customWidth="1" min="10" max="10"/>
  </cols>
  <sheetData>
    <row r="1" ht="30" customHeight="1">
      <c r="A1" s="1" t="inlineStr">
        <is>
          <t>PakFreight Star Builder — Week 3 Activity</t>
        </is>
      </c>
    </row>
    <row r="2" ht="30" customHeight="1">
      <c r="A2" s="2" t="inlineStr">
        <is>
          <t>Data Warehousing &amp; Business Intelligence · Week 3 — Fact &amp; Dimension Tables · CLO2 · The Superior University, Lahore</t>
        </is>
      </c>
    </row>
    <row r="4" ht="22" customHeight="1">
      <c r="A4" s="3" t="inlineStr">
        <is>
          <t>THE SITUATION</t>
        </is>
      </c>
    </row>
    <row r="5" ht="62" customHeight="1">
      <c r="A5" s="4" t="inlineStr">
        <is>
          <t>Week 2 ended with one flat table: Shipments_Unified, 34 rows, 578,650 kg, PKR 4,808,000. It answers simple questions and fails at every interesting one — there is no province column, no month column, Karachi is spelled five different ways, and nothing in it remembers what a route used to be called. Today you split it into one fact table and five dimensions, and the totals must not move by a single kilogram.</t>
        </is>
      </c>
    </row>
    <row r="7" ht="22" customHeight="1">
      <c r="A7" s="3" t="inlineStr">
        <is>
          <t>HOW TO WORK</t>
        </is>
      </c>
    </row>
    <row r="8" ht="28" customHeight="1">
      <c r="A8" s="5" t="inlineStr">
        <is>
          <t>•  Teams of 3. Name one person each: Modeller (owns the grain), Conformer (owns DimCity), Reconciler (owns T7 and has veto power over 'it looks fine').</t>
        </is>
      </c>
    </row>
    <row r="9" ht="28" customHeight="1">
      <c r="A9" s="5" t="inlineStr">
        <is>
          <t>•  Do the tasks in order. T6 cannot be filled in before T4 and T5 exist — that is not a quirk of this workbook, it is why dimensions are always loaded before facts.</t>
        </is>
      </c>
    </row>
    <row r="10" ht="28" customHeight="1">
      <c r="A10" s="5" t="inlineStr">
        <is>
          <t>•  Type only in CREAM cells. GREY cells are source data as received — never edit them.</t>
        </is>
      </c>
    </row>
    <row r="11" ht="28" customHeight="1">
      <c r="A11" s="5" t="inlineStr">
        <is>
          <t>•  T7 marks itself. Every '✘ fix' means something earlier is still wrong. Do not submit with a red cell and a hopeful note.</t>
        </is>
      </c>
    </row>
    <row r="12" ht="28" customHeight="1">
      <c r="A12" s="5" t="inlineStr">
        <is>
          <t>•  Save as  W3_Star_&lt;team number&gt;.xlsx  and submit on the LMS before Week 4, with the Power BI file described in PakFreight_W3_PowerBI_Lab_Guide.md.</t>
        </is>
      </c>
    </row>
    <row r="14" ht="22" customHeight="1">
      <c r="A14" s="3" t="inlineStr">
        <is>
          <t>THE SEVEN TASKS</t>
        </is>
      </c>
    </row>
    <row r="15" ht="30" customHeight="1">
      <c r="A15" s="6" t="inlineStr">
        <is>
          <t>#</t>
        </is>
      </c>
      <c r="B15" s="6" t="inlineStr">
        <is>
          <t>Task</t>
        </is>
      </c>
      <c r="C15" s="6" t="inlineStr">
        <is>
          <t>What you produce</t>
        </is>
      </c>
      <c r="D15" s="6" t="inlineStr">
        <is>
          <t>180-min class</t>
        </is>
      </c>
      <c r="E15" s="6" t="inlineStr">
        <is>
          <t>120-min class</t>
        </is>
      </c>
      <c r="F15" s="6" t="inlineStr">
        <is>
          <t>Where it comes from in the lecture</t>
        </is>
      </c>
    </row>
    <row r="16" ht="26" customHeight="1">
      <c r="A16" s="7" t="inlineStr">
        <is>
          <t>T1</t>
        </is>
      </c>
      <c r="B16" s="8" t="inlineStr">
        <is>
          <t>Classify every column</t>
        </is>
      </c>
      <c r="C16" s="8" t="inlineStr">
        <is>
          <t>Fact, dimension attribute, degenerate or drop</t>
        </is>
      </c>
      <c r="D16" s="9" t="n">
        <v>10</v>
      </c>
      <c r="E16" s="9" t="n">
        <v>8</v>
      </c>
      <c r="F16" s="10" t="inlineStr">
        <is>
          <t>Slides 9-17 · what belongs where</t>
        </is>
      </c>
    </row>
    <row r="17" ht="26" customHeight="1">
      <c r="A17" s="7" t="inlineStr">
        <is>
          <t>T2</t>
        </is>
      </c>
      <c r="B17" s="8" t="inlineStr">
        <is>
          <t>Declare the grain</t>
        </is>
      </c>
      <c r="C17" s="8" t="inlineStr">
        <is>
          <t>One sentence, no 'and' — for PakFreight and 4 new processes</t>
        </is>
      </c>
      <c r="D17" s="9" t="n">
        <v>12</v>
      </c>
      <c r="E17" s="9" t="n">
        <v>10</v>
      </c>
      <c r="F17" s="10" t="inlineStr">
        <is>
          <t>Slides 19-24 · Kimball's four steps</t>
        </is>
      </c>
    </row>
    <row r="18" ht="26" customHeight="1">
      <c r="A18" s="7" t="inlineStr">
        <is>
          <t>T3</t>
        </is>
      </c>
      <c r="B18" s="8" t="inlineStr">
        <is>
          <t>Additivity audit</t>
        </is>
      </c>
      <c r="C18" s="8" t="inlineStr">
        <is>
          <t>Additive, semi-additive, non-additive — and prove the ratio trap</t>
        </is>
      </c>
      <c r="D18" s="9" t="n">
        <v>10</v>
      </c>
      <c r="E18" s="9" t="n">
        <v>7</v>
      </c>
      <c r="F18" s="10" t="inlineStr">
        <is>
          <t>Slide 10 · 8.06 vs 8.31</t>
        </is>
      </c>
    </row>
    <row r="19" ht="26" customHeight="1">
      <c r="A19" s="7" t="inlineStr">
        <is>
          <t>T4</t>
        </is>
      </c>
      <c r="B19" s="8" t="inlineStr">
        <is>
          <t>Build DimCity</t>
        </is>
      </c>
      <c r="C19" s="8" t="inlineStr">
        <is>
          <t>Conform 23 raw location strings into 14 cities, mint the keys</t>
        </is>
      </c>
      <c r="D19" s="9" t="n">
        <v>20</v>
      </c>
      <c r="E19" s="9" t="n">
        <v>15</v>
      </c>
      <c r="F19" s="10" t="inlineStr">
        <is>
          <t>Slides 11, 30, 43 · surrogate keys</t>
        </is>
      </c>
    </row>
    <row r="20" ht="26" customHeight="1">
      <c r="A20" s="7" t="inlineStr">
        <is>
          <t>T5</t>
        </is>
      </c>
      <c r="B20" s="8" t="inlineStr">
        <is>
          <t>Build the other four dimensions</t>
        </is>
      </c>
      <c r="C20" s="8" t="inlineStr">
        <is>
          <t>DimRoute, DimMode, DimStatus, DimDate</t>
        </is>
      </c>
      <c r="D20" s="9" t="n">
        <v>20</v>
      </c>
      <c r="E20" s="9" t="n">
        <v>15</v>
      </c>
      <c r="F20" s="10" t="inlineStr">
        <is>
          <t>Slides 31-34, 38, 44</t>
        </is>
      </c>
    </row>
    <row r="21" ht="26" customHeight="1">
      <c r="A21" s="7" t="inlineStr">
        <is>
          <t>T6</t>
        </is>
      </c>
      <c r="B21" s="8" t="inlineStr">
        <is>
          <t>Build FactShipment</t>
        </is>
      </c>
      <c r="C21" s="8" t="inlineStr">
        <is>
          <t>Swap every text column for an integer key</t>
        </is>
      </c>
      <c r="D21" s="9" t="n">
        <v>15</v>
      </c>
      <c r="E21" s="9" t="n">
        <v>12</v>
      </c>
      <c r="F21" s="10" t="inlineStr">
        <is>
          <t>Slides 9, 44 · merge on the key only</t>
        </is>
      </c>
    </row>
    <row r="22" ht="26" customHeight="1">
      <c r="A22" s="7" t="inlineStr">
        <is>
          <t>T7</t>
        </is>
      </c>
      <c r="B22" s="8" t="inlineStr">
        <is>
          <t>Reconcile</t>
        </is>
      </c>
      <c r="C22" s="8" t="inlineStr">
        <is>
          <t>Thirteen checks. All thirteen must read 'pass'</t>
        </is>
      </c>
      <c r="D22" s="9" t="n">
        <v>8</v>
      </c>
      <c r="E22" s="9" t="n">
        <v>8</v>
      </c>
      <c r="F22" s="10" t="inlineStr">
        <is>
          <t>Slide 46 · validate before you trust</t>
        </is>
      </c>
    </row>
    <row r="23">
      <c r="C23" s="11" t="inlineStr">
        <is>
          <t>Total minutes</t>
        </is>
      </c>
      <c r="D23" s="12" t="n">
        <v>95</v>
      </c>
      <c r="E23" s="12" t="n">
        <v>75</v>
      </c>
    </row>
    <row r="25" ht="22" customHeight="1">
      <c r="A25" s="3" t="inlineStr">
        <is>
          <t>COLOUR LEGEND</t>
        </is>
      </c>
    </row>
    <row r="26">
      <c r="A26" s="13" t="inlineStr"/>
      <c r="B26" s="8" t="inlineStr">
        <is>
          <t>You type here</t>
        </is>
      </c>
    </row>
    <row r="27">
      <c r="A27" s="14" t="inlineStr"/>
      <c r="B27" s="8" t="inlineStr">
        <is>
          <t>Source data — do not edit</t>
        </is>
      </c>
    </row>
    <row r="28">
      <c r="A28" s="15" t="inlineStr"/>
      <c r="B28" s="8" t="inlineStr">
        <is>
          <t>✔ pass — check satisfied</t>
        </is>
      </c>
    </row>
    <row r="29">
      <c r="A29" s="16" t="inlineStr"/>
      <c r="B29" s="8" t="inlineStr">
        <is>
          <t>✘ fix — go back and correct it</t>
        </is>
      </c>
    </row>
    <row r="30">
      <c r="A30" s="17" t="inlineStr"/>
      <c r="B30" s="8" t="inlineStr">
        <is>
          <t>Model answer (teacher key only)</t>
        </is>
      </c>
    </row>
    <row r="32" ht="22" customHeight="1">
      <c r="A32" s="3" t="inlineStr">
        <is>
          <t>THE GRAIN CONTRACT — WRITE IT ONCE, OBEY IT EVERYWHERE</t>
        </is>
      </c>
    </row>
    <row r="33" ht="30" customHeight="1">
      <c r="A33" s="6" t="inlineStr"/>
      <c r="B33" s="6" t="inlineStr">
        <is>
          <t>Decision</t>
        </is>
      </c>
      <c r="C33" s="6" t="inlineStr">
        <is>
          <t>Your answer (T2 fills this in)</t>
        </is>
      </c>
      <c r="D33" s="6" t="inlineStr"/>
      <c r="E33" s="6" t="inlineStr"/>
      <c r="F33" s="6" t="inlineStr">
        <is>
          <t>Why it matters</t>
        </is>
      </c>
    </row>
    <row r="34" ht="30" customHeight="1">
      <c r="B34" s="8" t="inlineStr">
        <is>
          <t>Business process</t>
        </is>
      </c>
      <c r="C34" s="18" t="inlineStr">
        <is>
          <t>Freight shipment movement</t>
        </is>
      </c>
      <c r="F34" s="10" t="inlineStr">
        <is>
          <t>Step 1 of Kimball's four steps — pick a process, not a department.</t>
        </is>
      </c>
    </row>
    <row r="35" ht="30" customHeight="1">
      <c r="B35" s="8" t="inlineStr">
        <is>
          <t>Grain (one row = ?)</t>
        </is>
      </c>
      <c r="C35" s="19" t="inlineStr"/>
      <c r="F35" s="10" t="inlineStr">
        <is>
          <t>Step 2. If your sentence needs the word 'and', you have two fact tables.</t>
        </is>
      </c>
    </row>
    <row r="36" ht="30" customHeight="1">
      <c r="B36" s="8" t="inlineStr">
        <is>
          <t>Fact table type</t>
        </is>
      </c>
      <c r="C36" s="19" t="inlineStr"/>
      <c r="F36" s="10" t="inlineStr">
        <is>
          <t>Transaction, periodic snapshot or accumulating snapshot.</t>
        </is>
      </c>
    </row>
    <row r="37" ht="30" customHeight="1">
      <c r="B37" s="8" t="inlineStr">
        <is>
          <t>Dimensions</t>
        </is>
      </c>
      <c r="C37" s="19" t="inlineStr"/>
      <c r="F37" s="10" t="inlineStr">
        <is>
          <t>Step 3 — and they must follow from the grain, not from your imagination.</t>
        </is>
      </c>
    </row>
    <row r="38" ht="30" customHeight="1">
      <c r="B38" s="8" t="inlineStr">
        <is>
          <t>Measures</t>
        </is>
      </c>
      <c r="C38" s="19" t="inlineStr"/>
      <c r="F38" s="10" t="inlineStr">
        <is>
          <t>Step 4 — additive wherever you can manage it.</t>
        </is>
      </c>
    </row>
  </sheetData>
  <mergeCells count="18">
    <mergeCell ref="A2:F2"/>
    <mergeCell ref="A11:F11"/>
    <mergeCell ref="C36:E36"/>
    <mergeCell ref="A10:F10"/>
    <mergeCell ref="C37:E37"/>
    <mergeCell ref="A14:F14"/>
    <mergeCell ref="A1:F1"/>
    <mergeCell ref="A5:F5"/>
    <mergeCell ref="A9:F9"/>
    <mergeCell ref="A32:F32"/>
    <mergeCell ref="A8:F8"/>
    <mergeCell ref="A12:F12"/>
    <mergeCell ref="A4:F4"/>
    <mergeCell ref="C35:E35"/>
    <mergeCell ref="C34:E34"/>
    <mergeCell ref="A7:F7"/>
    <mergeCell ref="A25:F25"/>
    <mergeCell ref="C38:E38"/>
  </mergeCells>
  <pageMargins left="0.75" right="0.75" top="1" bottom="1" header="0.5" footer="0.5"/>
</worksheet>
</file>

<file path=xl/worksheets/sheet2.xml><?xml version="1.0" encoding="utf-8"?>
<worksheet xmlns="http://schemas.openxmlformats.org/spreadsheetml/2006/main">
  <sheetPr>
    <tabColor rgb="005B6573"/>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24" customWidth="1" min="3" max="3"/>
    <col width="22" customWidth="1" min="4" max="4"/>
    <col width="12" customWidth="1" min="5" max="5"/>
    <col width="12" customWidth="1" min="6" max="6"/>
    <col width="12" customWidth="1" min="7" max="7"/>
    <col width="14" customWidth="1" min="8" max="8"/>
  </cols>
  <sheetData>
    <row r="1" ht="30" customHeight="1">
      <c r="A1" s="1" t="inlineStr">
        <is>
          <t>Shipments_Unified  —  the Week 2 output</t>
        </is>
      </c>
    </row>
    <row r="2" ht="30" customHeight="1">
      <c r="A2" s="2" t="inlineStr">
        <is>
          <t>34 rows · 578,650 kg · PKR 4,808,000. Grey means source data: read it, point formulas at it, never edit it. This whole sheet becomes FactShipment in T6.</t>
        </is>
      </c>
    </row>
    <row r="4" ht="30" customHeight="1">
      <c r="A4" s="6" t="inlineStr">
        <is>
          <t>ShipmentID</t>
        </is>
      </c>
      <c r="B4" s="6" t="inlineStr">
        <is>
          <t>ShipDate</t>
        </is>
      </c>
      <c r="C4" s="6" t="inlineStr">
        <is>
          <t>Origin</t>
        </is>
      </c>
      <c r="D4" s="6" t="inlineStr">
        <is>
          <t>Destination</t>
        </is>
      </c>
      <c r="E4" s="6" t="inlineStr">
        <is>
          <t>WeightKG</t>
        </is>
      </c>
      <c r="F4" s="6" t="inlineStr">
        <is>
          <t>CostPKR</t>
        </is>
      </c>
      <c r="G4" s="6" t="inlineStr">
        <is>
          <t>Status</t>
        </is>
      </c>
      <c r="H4" s="6" t="inlineStr">
        <is>
          <t>SourceSystem</t>
        </is>
      </c>
    </row>
    <row r="5">
      <c r="A5" s="20" t="inlineStr">
        <is>
          <t>MR-1001</t>
        </is>
      </c>
      <c r="B5" s="21" t="n">
        <v>46054</v>
      </c>
      <c r="C5" s="14" t="inlineStr">
        <is>
          <t>Karachi Port</t>
        </is>
      </c>
      <c r="D5" s="14" t="inlineStr">
        <is>
          <t>Lahore Dry Port</t>
        </is>
      </c>
      <c r="E5" s="22" t="n">
        <v>18000</v>
      </c>
      <c r="F5" s="22" t="n">
        <v>142000</v>
      </c>
      <c r="G5" s="14" t="inlineStr">
        <is>
          <t>Delivered</t>
        </is>
      </c>
      <c r="H5" s="14" t="inlineStr">
        <is>
          <t>Marine</t>
        </is>
      </c>
    </row>
    <row r="6">
      <c r="A6" s="20" t="inlineStr">
        <is>
          <t>MR-1002</t>
        </is>
      </c>
      <c r="B6" s="21" t="n">
        <v>46055</v>
      </c>
      <c r="C6" s="14" t="inlineStr">
        <is>
          <t>Port Qasim</t>
        </is>
      </c>
      <c r="D6" s="14" t="inlineStr">
        <is>
          <t>Faisalabad Dry Port</t>
        </is>
      </c>
      <c r="E6" s="22" t="n">
        <v>22500</v>
      </c>
      <c r="F6" s="22" t="n">
        <v>171000</v>
      </c>
      <c r="G6" s="14" t="inlineStr">
        <is>
          <t>Delivered</t>
        </is>
      </c>
      <c r="H6" s="14" t="inlineStr">
        <is>
          <t>Marine</t>
        </is>
      </c>
    </row>
    <row r="7">
      <c r="A7" s="20" t="inlineStr">
        <is>
          <t>MR-1003</t>
        </is>
      </c>
      <c r="B7" s="21" t="n">
        <v>46056</v>
      </c>
      <c r="C7" s="14" t="inlineStr">
        <is>
          <t>Karachi Port</t>
        </is>
      </c>
      <c r="D7" s="14" t="inlineStr">
        <is>
          <t>Lahore Dry Port</t>
        </is>
      </c>
      <c r="E7" s="22" t="n">
        <v>15000</v>
      </c>
      <c r="F7" s="22" t="n">
        <v>119000</v>
      </c>
      <c r="G7" s="14" t="inlineStr">
        <is>
          <t>In Transit</t>
        </is>
      </c>
      <c r="H7" s="14" t="inlineStr">
        <is>
          <t>Marine</t>
        </is>
      </c>
    </row>
    <row r="8">
      <c r="A8" s="20" t="inlineStr">
        <is>
          <t>MR-1004</t>
        </is>
      </c>
      <c r="B8" s="21" t="n">
        <v>46057</v>
      </c>
      <c r="C8" s="14" t="inlineStr">
        <is>
          <t>Gwadar Port</t>
        </is>
      </c>
      <c r="D8" s="14" t="inlineStr">
        <is>
          <t>Quetta</t>
        </is>
      </c>
      <c r="E8" s="22" t="n">
        <v>20000</v>
      </c>
      <c r="F8" s="22" t="n">
        <v>188000</v>
      </c>
      <c r="G8" s="14" t="inlineStr">
        <is>
          <t>Delivered</t>
        </is>
      </c>
      <c r="H8" s="14" t="inlineStr">
        <is>
          <t>Marine</t>
        </is>
      </c>
    </row>
    <row r="9">
      <c r="A9" s="20" t="inlineStr">
        <is>
          <t>MR-1005</t>
        </is>
      </c>
      <c r="B9" s="21" t="n">
        <v>46058</v>
      </c>
      <c r="C9" s="14" t="inlineStr">
        <is>
          <t>Port Qasim</t>
        </is>
      </c>
      <c r="D9" s="14" t="inlineStr">
        <is>
          <t>Multan</t>
        </is>
      </c>
      <c r="E9" s="22" t="n">
        <v>16500</v>
      </c>
      <c r="F9" s="22" t="n">
        <v>128000</v>
      </c>
      <c r="G9" s="14" t="inlineStr">
        <is>
          <t>Delivered</t>
        </is>
      </c>
      <c r="H9" s="14" t="inlineStr">
        <is>
          <t>Marine</t>
        </is>
      </c>
    </row>
    <row r="10">
      <c r="A10" s="20" t="inlineStr">
        <is>
          <t>MR-1006</t>
        </is>
      </c>
      <c r="B10" s="21" t="n">
        <v>46059</v>
      </c>
      <c r="C10" s="14" t="inlineStr">
        <is>
          <t>Karachi Port</t>
        </is>
      </c>
      <c r="D10" s="14" t="inlineStr">
        <is>
          <t>Sialkot Dry Port</t>
        </is>
      </c>
      <c r="E10" s="22" t="n">
        <v>19000</v>
      </c>
      <c r="F10" s="22" t="n">
        <v>154000</v>
      </c>
      <c r="G10" s="14" t="inlineStr">
        <is>
          <t>Delayed</t>
        </is>
      </c>
      <c r="H10" s="14" t="inlineStr">
        <is>
          <t>Marine</t>
        </is>
      </c>
    </row>
    <row r="11">
      <c r="A11" s="20" t="inlineStr">
        <is>
          <t>MR-1007</t>
        </is>
      </c>
      <c r="B11" s="21" t="n">
        <v>46060</v>
      </c>
      <c r="C11" s="14" t="inlineStr">
        <is>
          <t>Port Qasim</t>
        </is>
      </c>
      <c r="D11" s="14" t="inlineStr">
        <is>
          <t>Lahore Dry Port</t>
        </is>
      </c>
      <c r="E11" s="22" t="n">
        <v>14000</v>
      </c>
      <c r="F11" s="22" t="n">
        <v>109000</v>
      </c>
      <c r="G11" s="14" t="inlineStr">
        <is>
          <t>Delivered</t>
        </is>
      </c>
      <c r="H11" s="14" t="inlineStr">
        <is>
          <t>Marine</t>
        </is>
      </c>
    </row>
    <row r="12">
      <c r="A12" s="20" t="inlineStr">
        <is>
          <t>MR-1008</t>
        </is>
      </c>
      <c r="B12" s="21" t="n">
        <v>46062</v>
      </c>
      <c r="C12" s="14" t="inlineStr">
        <is>
          <t>Karachi Port</t>
        </is>
      </c>
      <c r="D12" s="14" t="inlineStr">
        <is>
          <t>Peshawar</t>
        </is>
      </c>
      <c r="E12" s="22" t="n">
        <v>21000</v>
      </c>
      <c r="F12" s="22" t="n">
        <v>197000</v>
      </c>
      <c r="G12" s="14" t="inlineStr">
        <is>
          <t>In Transit</t>
        </is>
      </c>
      <c r="H12" s="14" t="inlineStr">
        <is>
          <t>Marine</t>
        </is>
      </c>
    </row>
    <row r="13">
      <c r="A13" s="20" t="inlineStr">
        <is>
          <t>MR-1009</t>
        </is>
      </c>
      <c r="B13" s="21" t="n">
        <v>46063</v>
      </c>
      <c r="C13" s="14" t="inlineStr">
        <is>
          <t>Gwadar Port</t>
        </is>
      </c>
      <c r="D13" s="14" t="inlineStr">
        <is>
          <t>Karachi Cantt</t>
        </is>
      </c>
      <c r="E13" s="22" t="n">
        <v>17500</v>
      </c>
      <c r="F13" s="22" t="n">
        <v>98000</v>
      </c>
      <c r="G13" s="14" t="inlineStr">
        <is>
          <t>Delivered</t>
        </is>
      </c>
      <c r="H13" s="14" t="inlineStr">
        <is>
          <t>Marine</t>
        </is>
      </c>
    </row>
    <row r="14">
      <c r="A14" s="20" t="inlineStr">
        <is>
          <t>MR-1010</t>
        </is>
      </c>
      <c r="B14" s="21" t="n">
        <v>46064</v>
      </c>
      <c r="C14" s="14" t="inlineStr">
        <is>
          <t>Port Qasim</t>
        </is>
      </c>
      <c r="D14" s="14" t="inlineStr">
        <is>
          <t>Islamabad Dry Port</t>
        </is>
      </c>
      <c r="E14" s="22" t="n">
        <v>15500</v>
      </c>
      <c r="F14" s="22" t="n">
        <v>139000</v>
      </c>
      <c r="G14" s="14" t="inlineStr">
        <is>
          <t>Delivered</t>
        </is>
      </c>
      <c r="H14" s="14" t="inlineStr">
        <is>
          <t>Marine</t>
        </is>
      </c>
    </row>
    <row r="15">
      <c r="A15" s="20" t="inlineStr">
        <is>
          <t>MR-1011</t>
        </is>
      </c>
      <c r="B15" s="21" t="n">
        <v>46065</v>
      </c>
      <c r="C15" s="14" t="inlineStr">
        <is>
          <t>Karachi Port</t>
        </is>
      </c>
      <c r="D15" s="14" t="inlineStr">
        <is>
          <t>Hyderabad</t>
        </is>
      </c>
      <c r="E15" s="22" t="n">
        <v>13500</v>
      </c>
      <c r="F15" s="22" t="n">
        <v>61000</v>
      </c>
      <c r="G15" s="14" t="inlineStr">
        <is>
          <t>In Transit</t>
        </is>
      </c>
      <c r="H15" s="14" t="inlineStr">
        <is>
          <t>Marine</t>
        </is>
      </c>
    </row>
    <row r="16">
      <c r="A16" s="20" t="inlineStr">
        <is>
          <t>MR-1012</t>
        </is>
      </c>
      <c r="B16" s="21" t="n">
        <v>46066</v>
      </c>
      <c r="C16" s="14" t="inlineStr">
        <is>
          <t>Port Qasim</t>
        </is>
      </c>
      <c r="D16" s="14" t="inlineStr">
        <is>
          <t>Lahore Dry Port</t>
        </is>
      </c>
      <c r="E16" s="22" t="n">
        <v>14000</v>
      </c>
      <c r="F16" s="22" t="n">
        <v>112000</v>
      </c>
      <c r="G16" s="14" t="inlineStr">
        <is>
          <t>Delivered</t>
        </is>
      </c>
      <c r="H16" s="14" t="inlineStr">
        <is>
          <t>Marine</t>
        </is>
      </c>
    </row>
    <row r="17">
      <c r="A17" s="20" t="inlineStr">
        <is>
          <t>RL-45012</t>
        </is>
      </c>
      <c r="B17" s="21" t="n">
        <v>46056</v>
      </c>
      <c r="C17" s="14" t="inlineStr">
        <is>
          <t>Karachi Cantt</t>
        </is>
      </c>
      <c r="D17" s="14" t="inlineStr">
        <is>
          <t>Lahore</t>
        </is>
      </c>
      <c r="E17" s="22" t="n">
        <v>32500</v>
      </c>
      <c r="F17" s="22" t="n">
        <v>285000</v>
      </c>
      <c r="G17" s="14" t="inlineStr">
        <is>
          <t>Delivered</t>
        </is>
      </c>
      <c r="H17" s="14" t="inlineStr">
        <is>
          <t>Rail</t>
        </is>
      </c>
    </row>
    <row r="18">
      <c r="A18" s="20" t="inlineStr">
        <is>
          <t>RL-45013</t>
        </is>
      </c>
      <c r="B18" s="21" t="n">
        <v>46056</v>
      </c>
      <c r="C18" s="14" t="inlineStr">
        <is>
          <t>Karachi Cantt</t>
        </is>
      </c>
      <c r="D18" s="14" t="inlineStr">
        <is>
          <t>Rawalpindi</t>
        </is>
      </c>
      <c r="E18" s="22" t="n">
        <v>28750</v>
      </c>
      <c r="F18" s="22" t="n">
        <v>301000</v>
      </c>
      <c r="G18" s="14" t="inlineStr">
        <is>
          <t>Delivered</t>
        </is>
      </c>
      <c r="H18" s="14" t="inlineStr">
        <is>
          <t>Rail</t>
        </is>
      </c>
    </row>
    <row r="19">
      <c r="A19" s="20" t="inlineStr">
        <is>
          <t>RL-45014</t>
        </is>
      </c>
      <c r="B19" s="21" t="n">
        <v>46057</v>
      </c>
      <c r="C19" s="14" t="inlineStr">
        <is>
          <t>Pipri Marshalling Yard</t>
        </is>
      </c>
      <c r="D19" s="14" t="inlineStr">
        <is>
          <t>Faisalabad</t>
        </is>
      </c>
      <c r="E19" s="22" t="n">
        <v>30000</v>
      </c>
      <c r="F19" s="22" t="n">
        <v>262000</v>
      </c>
      <c r="G19" s="14" t="inlineStr">
        <is>
          <t>In Transit</t>
        </is>
      </c>
      <c r="H19" s="14" t="inlineStr">
        <is>
          <t>Rail</t>
        </is>
      </c>
    </row>
    <row r="20">
      <c r="A20" s="20" t="inlineStr">
        <is>
          <t>RL-45015</t>
        </is>
      </c>
      <c r="B20" s="21" t="n">
        <v>46058</v>
      </c>
      <c r="C20" s="14" t="inlineStr">
        <is>
          <t>Karachi Cantt</t>
        </is>
      </c>
      <c r="D20" s="14" t="inlineStr">
        <is>
          <t>Multan</t>
        </is>
      </c>
      <c r="E20" s="22" t="n">
        <v>26500</v>
      </c>
      <c r="F20" s="22" t="n">
        <v>198000</v>
      </c>
      <c r="G20" s="14" t="inlineStr">
        <is>
          <t>Delivered</t>
        </is>
      </c>
      <c r="H20" s="14" t="inlineStr">
        <is>
          <t>Rail</t>
        </is>
      </c>
    </row>
    <row r="21">
      <c r="A21" s="20" t="inlineStr">
        <is>
          <t>RL-45016</t>
        </is>
      </c>
      <c r="B21" s="21" t="n">
        <v>46059</v>
      </c>
      <c r="C21" s="14" t="inlineStr">
        <is>
          <t>Pipri Marshalling Yard</t>
        </is>
      </c>
      <c r="D21" s="14" t="inlineStr">
        <is>
          <t>Lahore</t>
        </is>
      </c>
      <c r="E21" s="22" t="n">
        <v>31250</v>
      </c>
      <c r="F21" s="22" t="n">
        <v>276000</v>
      </c>
      <c r="G21" s="14" t="inlineStr">
        <is>
          <t>Delayed</t>
        </is>
      </c>
      <c r="H21" s="14" t="inlineStr">
        <is>
          <t>Rail</t>
        </is>
      </c>
    </row>
    <row r="22">
      <c r="A22" s="20" t="inlineStr">
        <is>
          <t>RL-45017</t>
        </is>
      </c>
      <c r="B22" s="21" t="n">
        <v>46060</v>
      </c>
      <c r="C22" s="14" t="inlineStr">
        <is>
          <t>Karachi Cantt</t>
        </is>
      </c>
      <c r="D22" s="14" t="inlineStr">
        <is>
          <t>Peshawar Cantt</t>
        </is>
      </c>
      <c r="E22" s="22" t="n">
        <v>29000</v>
      </c>
      <c r="F22" s="22" t="n">
        <v>334000</v>
      </c>
      <c r="G22" s="14" t="inlineStr">
        <is>
          <t>Delivered</t>
        </is>
      </c>
      <c r="H22" s="14" t="inlineStr">
        <is>
          <t>Rail</t>
        </is>
      </c>
    </row>
    <row r="23">
      <c r="A23" s="20" t="inlineStr">
        <is>
          <t>RL-45018</t>
        </is>
      </c>
      <c r="B23" s="21" t="n">
        <v>46062</v>
      </c>
      <c r="C23" s="14" t="inlineStr">
        <is>
          <t>Pipri Marshalling Yard</t>
        </is>
      </c>
      <c r="D23" s="14" t="inlineStr">
        <is>
          <t>Rawalpindi</t>
        </is>
      </c>
      <c r="E23" s="22" t="n">
        <v>27500</v>
      </c>
      <c r="F23" s="22" t="n">
        <v>289000</v>
      </c>
      <c r="G23" s="14" t="inlineStr">
        <is>
          <t>Delayed</t>
        </is>
      </c>
      <c r="H23" s="14" t="inlineStr">
        <is>
          <t>Rail</t>
        </is>
      </c>
    </row>
    <row r="24">
      <c r="A24" s="20" t="inlineStr">
        <is>
          <t>RL-45019</t>
        </is>
      </c>
      <c r="B24" s="21" t="n">
        <v>46063</v>
      </c>
      <c r="C24" s="14" t="inlineStr">
        <is>
          <t>Karachi Cantt</t>
        </is>
      </c>
      <c r="D24" s="14" t="inlineStr">
        <is>
          <t>Lahore</t>
        </is>
      </c>
      <c r="E24" s="22" t="n">
        <v>33000</v>
      </c>
      <c r="F24" s="22" t="n">
        <v>291000</v>
      </c>
      <c r="G24" s="14" t="inlineStr">
        <is>
          <t>Delivered</t>
        </is>
      </c>
      <c r="H24" s="14" t="inlineStr">
        <is>
          <t>Rail</t>
        </is>
      </c>
    </row>
    <row r="25">
      <c r="A25" s="20" t="inlineStr">
        <is>
          <t>RL-45020</t>
        </is>
      </c>
      <c r="B25" s="21" t="n">
        <v>46064</v>
      </c>
      <c r="C25" s="14" t="inlineStr">
        <is>
          <t>Karachi Cantt</t>
        </is>
      </c>
      <c r="D25" s="14" t="inlineStr">
        <is>
          <t>Sukkur</t>
        </is>
      </c>
      <c r="E25" s="22" t="n">
        <v>28250</v>
      </c>
      <c r="F25" s="22" t="n">
        <v>142000</v>
      </c>
      <c r="G25" s="14" t="inlineStr">
        <is>
          <t>In Transit</t>
        </is>
      </c>
      <c r="H25" s="14" t="inlineStr">
        <is>
          <t>Rail</t>
        </is>
      </c>
    </row>
    <row r="26">
      <c r="A26" s="20" t="inlineStr">
        <is>
          <t>RL-45021</t>
        </is>
      </c>
      <c r="B26" s="21" t="n">
        <v>46065</v>
      </c>
      <c r="C26" s="14" t="inlineStr">
        <is>
          <t>Pipri Marshalling Yard</t>
        </is>
      </c>
      <c r="D26" s="14" t="inlineStr">
        <is>
          <t>Multan</t>
        </is>
      </c>
      <c r="E26" s="22" t="n">
        <v>28500</v>
      </c>
      <c r="F26" s="22" t="n">
        <v>207000</v>
      </c>
      <c r="G26" s="14" t="inlineStr">
        <is>
          <t>Delivered</t>
        </is>
      </c>
      <c r="H26" s="14" t="inlineStr">
        <is>
          <t>Rail</t>
        </is>
      </c>
    </row>
    <row r="27">
      <c r="A27" s="20" t="inlineStr">
        <is>
          <t>RD-501</t>
        </is>
      </c>
      <c r="B27" s="21" t="n">
        <v>46055</v>
      </c>
      <c r="C27" s="14" t="inlineStr">
        <is>
          <t>Lahore</t>
        </is>
      </c>
      <c r="D27" s="14" t="inlineStr">
        <is>
          <t>Islamabad</t>
        </is>
      </c>
      <c r="E27" s="22" t="n">
        <v>6500</v>
      </c>
      <c r="F27" s="22" t="n">
        <v>58000</v>
      </c>
      <c r="G27" s="14" t="inlineStr">
        <is>
          <t>Delivered</t>
        </is>
      </c>
      <c r="H27" s="14" t="inlineStr">
        <is>
          <t>Road</t>
        </is>
      </c>
    </row>
    <row r="28">
      <c r="A28" s="20" t="inlineStr">
        <is>
          <t>RD-502</t>
        </is>
      </c>
      <c r="B28" s="21" t="n">
        <v>46055</v>
      </c>
      <c r="C28" s="14" t="inlineStr">
        <is>
          <t>Karachi</t>
        </is>
      </c>
      <c r="D28" s="14" t="inlineStr">
        <is>
          <t>Hyderabad</t>
        </is>
      </c>
      <c r="E28" s="22" t="n">
        <v>7200</v>
      </c>
      <c r="F28" s="22" t="n">
        <v>41000</v>
      </c>
      <c r="G28" s="14" t="inlineStr">
        <is>
          <t>Delivered</t>
        </is>
      </c>
      <c r="H28" s="14" t="inlineStr">
        <is>
          <t>Road</t>
        </is>
      </c>
    </row>
    <row r="29">
      <c r="A29" s="20" t="inlineStr">
        <is>
          <t>RD-503</t>
        </is>
      </c>
      <c r="B29" s="21" t="n">
        <v>46056</v>
      </c>
      <c r="C29" s="14" t="inlineStr">
        <is>
          <t>Lahore</t>
        </is>
      </c>
      <c r="D29" s="14" t="inlineStr">
        <is>
          <t>Faisalabad</t>
        </is>
      </c>
      <c r="E29" s="22" t="n">
        <v>5800</v>
      </c>
      <c r="F29" s="22" t="n">
        <v>32000</v>
      </c>
      <c r="G29" s="14" t="inlineStr">
        <is>
          <t>In Transit</t>
        </is>
      </c>
      <c r="H29" s="14" t="inlineStr">
        <is>
          <t>Road</t>
        </is>
      </c>
    </row>
    <row r="30">
      <c r="A30" s="20" t="inlineStr">
        <is>
          <t>RD-504</t>
        </is>
      </c>
      <c r="B30" s="21" t="n">
        <v>46057</v>
      </c>
      <c r="C30" s="14" t="inlineStr">
        <is>
          <t>Multan</t>
        </is>
      </c>
      <c r="D30" s="14" t="inlineStr">
        <is>
          <t>Lahore</t>
        </is>
      </c>
      <c r="E30" s="22" t="n">
        <v>6900</v>
      </c>
      <c r="F30" s="22" t="n">
        <v>61000</v>
      </c>
      <c r="G30" s="14" t="inlineStr">
        <is>
          <t>Delivered</t>
        </is>
      </c>
      <c r="H30" s="14" t="inlineStr">
        <is>
          <t>Road</t>
        </is>
      </c>
    </row>
    <row r="31">
      <c r="A31" s="20" t="inlineStr">
        <is>
          <t>RD-505</t>
        </is>
      </c>
      <c r="B31" s="21" t="n">
        <v>46058</v>
      </c>
      <c r="C31" s="14" t="inlineStr">
        <is>
          <t>Islamabad</t>
        </is>
      </c>
      <c r="D31" s="14" t="inlineStr">
        <is>
          <t>Peshawar</t>
        </is>
      </c>
      <c r="E31" s="22" t="n">
        <v>6100</v>
      </c>
      <c r="F31" s="22" t="n">
        <v>47000</v>
      </c>
      <c r="G31" s="14" t="inlineStr">
        <is>
          <t>Delivered</t>
        </is>
      </c>
      <c r="H31" s="14" t="inlineStr">
        <is>
          <t>Road</t>
        </is>
      </c>
    </row>
    <row r="32">
      <c r="A32" s="20" t="inlineStr">
        <is>
          <t>RD-506</t>
        </is>
      </c>
      <c r="B32" s="21" t="n">
        <v>46059</v>
      </c>
      <c r="C32" s="14" t="inlineStr">
        <is>
          <t>Karachi</t>
        </is>
      </c>
      <c r="D32" s="14" t="inlineStr">
        <is>
          <t>Sukkur</t>
        </is>
      </c>
      <c r="E32" s="22" t="n">
        <v>7400</v>
      </c>
      <c r="F32" s="22" t="n">
        <v>83000</v>
      </c>
      <c r="G32" s="14" t="inlineStr">
        <is>
          <t>Delayed</t>
        </is>
      </c>
      <c r="H32" s="14" t="inlineStr">
        <is>
          <t>Road</t>
        </is>
      </c>
    </row>
    <row r="33">
      <c r="A33" s="20" t="inlineStr">
        <is>
          <t>RD-507</t>
        </is>
      </c>
      <c r="B33" s="21" t="n">
        <v>46060</v>
      </c>
      <c r="C33" s="14" t="inlineStr">
        <is>
          <t>Lahore</t>
        </is>
      </c>
      <c r="D33" s="14" t="inlineStr">
        <is>
          <t>Sialkot</t>
        </is>
      </c>
      <c r="E33" s="22" t="n">
        <v>5900</v>
      </c>
      <c r="F33" s="22" t="n">
        <v>39000</v>
      </c>
      <c r="G33" s="14" t="inlineStr">
        <is>
          <t>Delivered</t>
        </is>
      </c>
      <c r="H33" s="14" t="inlineStr">
        <is>
          <t>Road</t>
        </is>
      </c>
    </row>
    <row r="34">
      <c r="A34" s="20" t="inlineStr">
        <is>
          <t>RD-508</t>
        </is>
      </c>
      <c r="B34" s="21" t="n">
        <v>46062</v>
      </c>
      <c r="C34" s="14" t="inlineStr">
        <is>
          <t>Quetta</t>
        </is>
      </c>
      <c r="D34" s="14" t="inlineStr">
        <is>
          <t>Karachi</t>
        </is>
      </c>
      <c r="E34" s="22" t="n">
        <v>6600</v>
      </c>
      <c r="F34" s="22" t="n">
        <v>92000</v>
      </c>
      <c r="G34" s="14" t="inlineStr">
        <is>
          <t>In Transit</t>
        </is>
      </c>
      <c r="H34" s="14" t="inlineStr">
        <is>
          <t>Road</t>
        </is>
      </c>
    </row>
    <row r="35">
      <c r="A35" s="20" t="inlineStr">
        <is>
          <t>RD-509</t>
        </is>
      </c>
      <c r="B35" s="21" t="n">
        <v>46063</v>
      </c>
      <c r="C35" s="14" t="inlineStr">
        <is>
          <t>Faisalabad</t>
        </is>
      </c>
      <c r="D35" s="14" t="inlineStr">
        <is>
          <t>Multan</t>
        </is>
      </c>
      <c r="E35" s="22" t="n">
        <v>6200</v>
      </c>
      <c r="F35" s="22" t="n">
        <v>44000</v>
      </c>
      <c r="G35" s="14" t="inlineStr">
        <is>
          <t>Delivered</t>
        </is>
      </c>
      <c r="H35" s="14" t="inlineStr">
        <is>
          <t>Road</t>
        </is>
      </c>
    </row>
    <row r="36">
      <c r="A36" s="20" t="inlineStr">
        <is>
          <t>RD-510</t>
        </is>
      </c>
      <c r="B36" s="21" t="n">
        <v>46064</v>
      </c>
      <c r="C36" s="14" t="inlineStr">
        <is>
          <t>Lahore</t>
        </is>
      </c>
      <c r="D36" s="14" t="inlineStr">
        <is>
          <t>Gujranwala</t>
        </is>
      </c>
      <c r="E36" s="22" t="n">
        <v>7000</v>
      </c>
      <c r="F36" s="22" t="n">
        <v>27000</v>
      </c>
      <c r="G36" s="14" t="inlineStr">
        <is>
          <t>Delivered</t>
        </is>
      </c>
      <c r="H36" s="14" t="inlineStr">
        <is>
          <t>Road</t>
        </is>
      </c>
    </row>
    <row r="37">
      <c r="A37" s="20" t="inlineStr">
        <is>
          <t>RD-511</t>
        </is>
      </c>
      <c r="B37" s="21" t="n">
        <v>46065</v>
      </c>
      <c r="C37" s="14" t="inlineStr">
        <is>
          <t>Karachi</t>
        </is>
      </c>
      <c r="D37" s="14" t="inlineStr">
        <is>
          <t>Hyderabad</t>
        </is>
      </c>
      <c r="E37" s="22" t="n">
        <v>5500</v>
      </c>
      <c r="F37" s="22" t="n">
        <v>36000</v>
      </c>
      <c r="G37" s="14" t="inlineStr">
        <is>
          <t>In Transit</t>
        </is>
      </c>
      <c r="H37" s="14" t="inlineStr">
        <is>
          <t>Road</t>
        </is>
      </c>
    </row>
    <row r="38">
      <c r="A38" s="20" t="inlineStr">
        <is>
          <t>RD-512</t>
        </is>
      </c>
      <c r="B38" s="21" t="n">
        <v>46066</v>
      </c>
      <c r="C38" s="14" t="inlineStr">
        <is>
          <t>Rawalpindi</t>
        </is>
      </c>
      <c r="D38" s="14" t="inlineStr">
        <is>
          <t>Abbottabad</t>
        </is>
      </c>
      <c r="E38" s="22" t="n">
        <v>5800</v>
      </c>
      <c r="F38" s="22" t="n">
        <v>45000</v>
      </c>
      <c r="G38" s="14" t="inlineStr">
        <is>
          <t>Delivered</t>
        </is>
      </c>
      <c r="H38" s="14" t="inlineStr">
        <is>
          <t>Road</t>
        </is>
      </c>
    </row>
    <row r="39">
      <c r="D39" s="11" t="inlineStr">
        <is>
          <t>TOTAL</t>
        </is>
      </c>
      <c r="E39" s="23">
        <f>SUM(E5:E38)</f>
        <v/>
      </c>
      <c r="F39" s="23">
        <f>SUM(F5:F38)</f>
        <v/>
      </c>
    </row>
    <row r="41" ht="26" customHeight="1">
      <c r="A41" s="24" t="inlineStr">
        <is>
          <t>Count the distinct dates in column B. There are 12 — not 28. February 2026 has 28 days and PakFreight dispatched nothing on 16 of them. Any 'average per day' computed from this sheet divides by the wrong number, silently. That is what DimDate in T5 is for.</t>
        </is>
      </c>
    </row>
  </sheetData>
  <mergeCells count="3">
    <mergeCell ref="A41:H41"/>
    <mergeCell ref="A2:H2"/>
    <mergeCell ref="A1:H1"/>
  </mergeCells>
  <pageMargins left="0.75" right="0.75" top="1" bottom="1" header="0.5" footer="0.5"/>
</worksheet>
</file>

<file path=xl/worksheets/sheet3.xml><?xml version="1.0" encoding="utf-8"?>
<worksheet xmlns="http://schemas.openxmlformats.org/spreadsheetml/2006/main">
  <sheetPr>
    <tabColor rgb="00005A8C"/>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11" customWidth="1" min="3" max="3"/>
    <col width="32" customWidth="1" min="4" max="4"/>
    <col width="62" customWidth="1" min="5" max="5"/>
    <col width="3" customWidth="1" min="6" max="6"/>
  </cols>
  <sheetData>
    <row r="1" ht="30" customHeight="1">
      <c r="A1" s="1" t="inlineStr">
        <is>
          <t>T1  ·  Fact, Dimension, Degenerate or Drop?</t>
        </is>
      </c>
    </row>
    <row r="2" ht="30" customHeight="1">
      <c r="A2" s="2" t="inlineStr">
        <is>
          <t>PakFreight's operations team wants twelve more columns added to the warehouse. For each one write F (fact / measure), D (dimension attribute), DD (degenerate dimension) or X (belongs in neither), name the table it should live in, and defend it in one line. Four of the twelve are deliberately tricky.</t>
        </is>
      </c>
    </row>
    <row r="4" ht="30" customHeight="1">
      <c r="A4" s="6" t="inlineStr">
        <is>
          <t>#</t>
        </is>
      </c>
      <c r="B4" s="6" t="inlineStr">
        <is>
          <t>Column the team asked for</t>
        </is>
      </c>
      <c r="C4" s="6" t="inlineStr">
        <is>
          <t>F / D / DD / X</t>
        </is>
      </c>
      <c r="D4" s="6" t="inlineStr">
        <is>
          <t>Which table does it live in?</t>
        </is>
      </c>
      <c r="E4" s="6" t="inlineStr">
        <is>
          <t>Your one-line justification</t>
        </is>
      </c>
    </row>
    <row r="5" ht="26" customHeight="1">
      <c r="A5" s="9" t="n">
        <v>1</v>
      </c>
      <c r="B5" s="20" t="inlineStr">
        <is>
          <t>Driver_Name</t>
        </is>
      </c>
      <c r="C5" s="25" t="inlineStr"/>
      <c r="D5" s="19" t="inlineStr"/>
      <c r="E5" s="19" t="inlineStr"/>
    </row>
    <row r="6" ht="26" customHeight="1">
      <c r="A6" s="9" t="n">
        <v>2</v>
      </c>
      <c r="B6" s="20" t="inlineStr">
        <is>
          <t>Days_Late</t>
        </is>
      </c>
      <c r="C6" s="25" t="inlineStr"/>
      <c r="D6" s="19" t="inlineStr"/>
      <c r="E6" s="19" t="inlineStr"/>
    </row>
    <row r="7" ht="26" customHeight="1">
      <c r="A7" s="9" t="n">
        <v>3</v>
      </c>
      <c r="B7" s="20" t="inlineStr">
        <is>
          <t>Invoice_Number</t>
        </is>
      </c>
      <c r="C7" s="25" t="inlineStr"/>
      <c r="D7" s="19" t="inlineStr"/>
      <c r="E7" s="19" t="inlineStr"/>
    </row>
    <row r="8" ht="26" customHeight="1">
      <c r="A8" s="9" t="n">
        <v>4</v>
      </c>
      <c r="B8" s="20" t="inlineStr">
        <is>
          <t>Discount_Percent</t>
        </is>
      </c>
      <c r="C8" s="25" t="inlineStr"/>
      <c r="D8" s="19" t="inlineStr"/>
      <c r="E8" s="19" t="inlineStr"/>
    </row>
    <row r="9" ht="26" customHeight="1">
      <c r="A9" s="9" t="n">
        <v>5</v>
      </c>
      <c r="B9" s="20" t="inlineStr">
        <is>
          <t>Truck_Registration_No</t>
        </is>
      </c>
      <c r="C9" s="25" t="inlineStr"/>
      <c r="D9" s="19" t="inlineStr"/>
      <c r="E9" s="19" t="inlineStr"/>
    </row>
    <row r="10" ht="26" customHeight="1">
      <c r="A10" s="9" t="n">
        <v>6</v>
      </c>
      <c r="B10" s="20" t="inlineStr">
        <is>
          <t>Container_Count</t>
        </is>
      </c>
      <c r="C10" s="25" t="inlineStr"/>
      <c r="D10" s="19" t="inlineStr"/>
      <c r="E10" s="19" t="inlineStr"/>
    </row>
    <row r="11" ht="26" customHeight="1">
      <c r="A11" s="9" t="n">
        <v>7</v>
      </c>
      <c r="B11" s="20" t="inlineStr">
        <is>
          <t>Customer_Credit_Rating</t>
        </is>
      </c>
      <c r="C11" s="25" t="inlineStr"/>
      <c r="D11" s="19" t="inlineStr"/>
      <c r="E11" s="19" t="inlineStr"/>
    </row>
    <row r="12" ht="26" customHeight="1">
      <c r="A12" s="9" t="n">
        <v>8</v>
      </c>
      <c r="B12" s="20" t="inlineStr">
        <is>
          <t>Cost_Per_Tonne_KM</t>
        </is>
      </c>
      <c r="C12" s="25" t="inlineStr"/>
      <c r="D12" s="19" t="inlineStr"/>
      <c r="E12" s="19" t="inlineStr"/>
    </row>
    <row r="13" ht="26" customHeight="1">
      <c r="A13" s="9" t="n">
        <v>9</v>
      </c>
      <c r="B13" s="20" t="inlineStr">
        <is>
          <t>Row_Inserted_Timestamp</t>
        </is>
      </c>
      <c r="C13" s="25" t="inlineStr"/>
      <c r="D13" s="19" t="inlineStr"/>
      <c r="E13" s="19" t="inlineStr"/>
    </row>
    <row r="14" ht="26" customHeight="1">
      <c r="A14" s="9" t="n">
        <v>10</v>
      </c>
      <c r="B14" s="20" t="inlineStr">
        <is>
          <t>Fuel_Surcharge_PKR</t>
        </is>
      </c>
      <c r="C14" s="25" t="inlineStr"/>
      <c r="D14" s="19" t="inlineStr"/>
      <c r="E14" s="19" t="inlineStr"/>
    </row>
    <row r="15" ht="26" customHeight="1">
      <c r="A15" s="9" t="n">
        <v>11</v>
      </c>
      <c r="B15" s="20" t="inlineStr">
        <is>
          <t>Weather_Condition</t>
        </is>
      </c>
      <c r="C15" s="25" t="inlineStr"/>
      <c r="D15" s="19" t="inlineStr"/>
      <c r="E15" s="19" t="inlineStr"/>
    </row>
    <row r="16" ht="26" customHeight="1">
      <c r="A16" s="9" t="n">
        <v>12</v>
      </c>
      <c r="B16" s="20" t="inlineStr">
        <is>
          <t>Is_Hazardous_Cargo</t>
        </is>
      </c>
      <c r="C16" s="25" t="inlineStr"/>
      <c r="D16" s="19" t="inlineStr"/>
      <c r="E16" s="19" t="inlineStr"/>
    </row>
    <row r="17">
      <c r="B17" s="11" t="inlineStr">
        <is>
          <t>Answered so far</t>
        </is>
      </c>
      <c r="C17" s="12">
        <f>COUNTA(C5:C16)&amp;" / 12"</f>
        <v/>
      </c>
    </row>
    <row r="19" ht="22" customHeight="1">
      <c r="A19" s="3" t="inlineStr">
        <is>
          <t>DEFEND YOUR ANSWERS — THE THREE QUESTIONS WE WILL ASK</t>
        </is>
      </c>
    </row>
    <row r="20" ht="22" customHeight="1">
      <c r="A20" s="26" t="inlineStr">
        <is>
          <t>Which of your X answers would a real analyst fight you over, and what is their best argument?</t>
        </is>
      </c>
      <c r="C20" s="19" t="inlineStr"/>
    </row>
    <row r="21" ht="22" customHeight="1"/>
    <row r="22" ht="22" customHeight="1">
      <c r="A22" s="26" t="inlineStr">
        <is>
          <t>Name one column you marked D that deserves its own dimension table, and three attributes it would carry.</t>
        </is>
      </c>
      <c r="C22" s="19" t="inlineStr"/>
    </row>
    <row r="23" ht="22" customHeight="1"/>
    <row r="24" ht="22" customHeight="1">
      <c r="A24" s="26" t="inlineStr">
        <is>
          <t>If Days_Late is a fact, which dimension supplies the deadline it is measured against?</t>
        </is>
      </c>
      <c r="C24" s="19" t="inlineStr"/>
    </row>
    <row r="25" ht="22" customHeight="1"/>
    <row r="27" ht="26" customHeight="1">
      <c r="A27" s="24" t="inlineStr">
        <is>
          <t>Marking: 6 marks for the twelve verdicts (half a mark each), 3 marks for the justifications, 3 marks for the three questions. A wrong verdict with a sharp justification scores more than a right verdict with none — the reasoning is the skill.</t>
        </is>
      </c>
    </row>
  </sheetData>
  <mergeCells count="10">
    <mergeCell ref="A22:B23"/>
    <mergeCell ref="C24:E25"/>
    <mergeCell ref="A20:B21"/>
    <mergeCell ref="A2:E2"/>
    <mergeCell ref="A19:E19"/>
    <mergeCell ref="C22:E23"/>
    <mergeCell ref="A1:E1"/>
    <mergeCell ref="C20:E21"/>
    <mergeCell ref="A24:B25"/>
    <mergeCell ref="A27:E27"/>
  </mergeCells>
  <dataValidations count="1">
    <dataValidation sqref="C5 C6 C7 C8 C9 C10 C11 C12 C13 C14 C15 C16" showDropDown="0" showInputMessage="0" showErrorMessage="0" allowBlank="1" type="list">
      <formula1>"F,D,DD,X"</formula1>
    </dataValidation>
  </dataValidations>
  <pageMargins left="0.75" right="0.75" top="1" bottom="1" header="0.5" footer="0.5"/>
</worksheet>
</file>

<file path=xl/worksheets/sheet4.xml><?xml version="1.0" encoding="utf-8"?>
<worksheet xmlns="http://schemas.openxmlformats.org/spreadsheetml/2006/main">
  <sheetPr>
    <tabColor rgb="00005A8C"/>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42" customWidth="1" min="3" max="3"/>
    <col width="34" customWidth="1" min="4" max="4"/>
    <col width="34" customWidth="1" min="5" max="5"/>
    <col width="34" customWidth="1" min="6" max="6"/>
    <col width="3" customWidth="1" min="7" max="7"/>
  </cols>
  <sheetData>
    <row r="1" ht="30" customHeight="1">
      <c r="A1" s="1" t="inlineStr">
        <is>
          <t>T2  ·  Declare the Grain</t>
        </is>
      </c>
    </row>
    <row r="2" ht="30" customHeight="1">
      <c r="A2" s="2" t="inlineStr">
        <is>
          <t>The single most consequential sentence in warehouse design. Write it for PakFreight, then for four processes PakFreight wants to add next. Use the template: 'One row per …'. If your sentence needs the word 'and', you have described two fact tables.</t>
        </is>
      </c>
    </row>
    <row r="4" ht="22" customHeight="1">
      <c r="A4" s="3" t="inlineStr">
        <is>
          <t>PART A  ·  THE PAKFREIGHT GRAIN STATEMENT</t>
        </is>
      </c>
    </row>
    <row r="5" ht="30" customHeight="1">
      <c r="B5" s="8" t="inlineStr">
        <is>
          <t>One row of FactShipment represents…</t>
        </is>
      </c>
      <c r="C5" s="19" t="inlineStr"/>
      <c r="F5" s="8">
        <f>IF(C5="","— not written yet",IF(ISNUMBER(SEARCH(" and ",C5)),"✘ contains 'and' — that is two fact tables","✔ no 'and' — one grain"))</f>
        <v/>
      </c>
    </row>
    <row r="6" ht="26" customHeight="1">
      <c r="A6" s="24" t="inlineStr">
        <is>
          <t>Why 'leg' and not 'shipment'? MR-1009 moves Gwadar → Karachi and RD-508 moves Quetta → Karachi. If a single customer consignment is later carried marine-then-road, 'one row per shipment' becomes ambiguous the day PakFreight sells multi-modal freight — and the grain you declare today is the one the CFO's 2027 reports will be built on.</t>
        </is>
      </c>
    </row>
    <row r="8" ht="22" customHeight="1">
      <c r="A8" s="3" t="inlineStr">
        <is>
          <t>PART B  ·  FOUR NEW PROCESSES — GRAIN, DIMENSIONS, MEASURES, FACT TYPE</t>
        </is>
      </c>
    </row>
    <row r="9" ht="30" customHeight="1">
      <c r="A9" s="6" t="inlineStr">
        <is>
          <t>#</t>
        </is>
      </c>
      <c r="B9" s="6" t="inlineStr">
        <is>
          <t>Business process</t>
        </is>
      </c>
      <c r="C9" s="6" t="inlineStr">
        <is>
          <t>Grain sentence (one row per …)</t>
        </is>
      </c>
      <c r="D9" s="6" t="inlineStr">
        <is>
          <t>Dimensions it implies</t>
        </is>
      </c>
      <c r="E9" s="6" t="inlineStr">
        <is>
          <t>Two measures</t>
        </is>
      </c>
      <c r="F9" s="6" t="inlineStr">
        <is>
          <t>Fact table type + why</t>
        </is>
      </c>
    </row>
    <row r="10" ht="56" customHeight="1">
      <c r="A10" s="9" t="n">
        <v>1</v>
      </c>
      <c r="B10" s="18" t="inlineStr">
        <is>
          <t>Fuel purchases at PakFreight depots</t>
        </is>
      </c>
      <c r="C10" s="19" t="inlineStr"/>
      <c r="D10" s="19" t="inlineStr"/>
      <c r="E10" s="19" t="inlineStr"/>
      <c r="F10" s="19" t="inlineStr"/>
    </row>
    <row r="11" ht="16" customHeight="1">
      <c r="A11" s="27" t="inlineStr"/>
      <c r="B11" s="28" t="inlineStr">
        <is>
          <t>Hint:  Is the grain one fuel purchase, one litre, or one truck per week?</t>
        </is>
      </c>
    </row>
    <row r="12" ht="56" customHeight="1">
      <c r="A12" s="9" t="n">
        <v>2</v>
      </c>
      <c r="B12" s="18" t="inlineStr">
        <is>
          <t>Driver duty hours and rest compliance</t>
        </is>
      </c>
      <c r="C12" s="19" t="inlineStr"/>
      <c r="D12" s="19" t="inlineStr"/>
      <c r="E12" s="19" t="inlineStr"/>
      <c r="F12" s="19" t="inlineStr"/>
    </row>
    <row r="13" ht="16" customHeight="1">
      <c r="A13" s="27" t="inlineStr"/>
      <c r="B13" s="28" t="inlineStr">
        <is>
          <t>Hint:  Regulators care about a rolling 14-day window. Does that change the grain, or only the measures?</t>
        </is>
      </c>
    </row>
    <row r="14" ht="56" customHeight="1">
      <c r="A14" s="9" t="n">
        <v>3</v>
      </c>
      <c r="B14" s="18" t="inlineStr">
        <is>
          <t>Customer complaints about late delivery</t>
        </is>
      </c>
      <c r="C14" s="19" t="inlineStr"/>
      <c r="D14" s="19" t="inlineStr"/>
      <c r="E14" s="19" t="inlineStr"/>
      <c r="F14" s="19" t="inlineStr"/>
    </row>
    <row r="15" ht="16" customHeight="1">
      <c r="A15" s="27" t="inlineStr"/>
      <c r="B15" s="28" t="inlineStr">
        <is>
          <t>Hint:  One complaint can reference several shipments. Where does that relationship live?</t>
        </is>
      </c>
    </row>
    <row r="16" ht="56" customHeight="1">
      <c r="A16" s="9" t="n">
        <v>4</v>
      </c>
      <c r="B16" s="18" t="inlineStr">
        <is>
          <t>Daily warehouse stock levels at Lahore Dry Port</t>
        </is>
      </c>
      <c r="C16" s="19" t="inlineStr"/>
      <c r="D16" s="19" t="inlineStr"/>
      <c r="E16" s="19" t="inlineStr"/>
      <c r="F16" s="19" t="inlineStr"/>
    </row>
    <row r="17" ht="16" customHeight="1">
      <c r="A17" s="27" t="inlineStr"/>
      <c r="B17" s="28" t="inlineStr">
        <is>
          <t>Hint:  Nothing 'happens' on a quiet day — but you still need a number. Which fact shape is this?</t>
        </is>
      </c>
    </row>
    <row r="19" ht="22" customHeight="1">
      <c r="A19" s="3" t="inlineStr">
        <is>
          <t>PART C  ·  THE GRAIN THAT WENT WRONG — A 20-SECOND CASE</t>
        </is>
      </c>
    </row>
    <row r="20">
      <c r="B20" s="29" t="inlineStr">
        <is>
          <t>A PakFreight analyst needs cost per customer, so he adds CustomerName to FactShipment. Two shipments on RD-501 are billed to two customers who split the truck. He cannot choose, so he duplicates the row — once per customer. The table now has 35 rows, total weight reads 585,150 kg, and every weight report in the company is overstated by 6,500 kg forever.
In one line each: (a) what rule did he break?  (b) what should he have built instead?  (c) which of T7's twelve checks would have caught it?</t>
        </is>
      </c>
    </row>
    <row r="21"/>
    <row r="22"/>
    <row r="23" ht="30" customHeight="1">
      <c r="B23" s="19" t="inlineStr"/>
    </row>
    <row r="24" ht="30" customHeight="1"/>
    <row r="26" ht="26" customHeight="1">
      <c r="A26" s="24" t="inlineStr">
        <is>
          <t>Marking, 12 marks: Part A grain sentence 3 · Part B 1.5 per process (grain 0.75, dimensions 0.5, measures 0.25) · Part C 3 · bonus 1 for spotting that #4 is a periodic snapshot and #3 needs a bridge table. A sentence containing 'and' loses the grain mark however good the rest is.</t>
        </is>
      </c>
    </row>
  </sheetData>
  <mergeCells count="14">
    <mergeCell ref="A2:F2"/>
    <mergeCell ref="C5:E5"/>
    <mergeCell ref="A19:F19"/>
    <mergeCell ref="B20:F22"/>
    <mergeCell ref="B15:F15"/>
    <mergeCell ref="A1:F1"/>
    <mergeCell ref="B11:F11"/>
    <mergeCell ref="A8:F8"/>
    <mergeCell ref="A6:F6"/>
    <mergeCell ref="A4:F4"/>
    <mergeCell ref="B23:F24"/>
    <mergeCell ref="A26:F26"/>
    <mergeCell ref="B17:F17"/>
    <mergeCell ref="B13:F13"/>
  </mergeCells>
  <dataValidations count="1">
    <dataValidation sqref="F10 F12 F14 F16" showDropDown="0" showInputMessage="0" showErrorMessage="0" allowBlank="1" type="list">
      <formula1>"Transaction,Periodic snapshot,Accumulating snapshot"</formula1>
    </dataValidation>
  </dataValidations>
  <pageMargins left="0.75" right="0.75" top="1" bottom="1" header="0.5" footer="0.5"/>
</worksheet>
</file>

<file path=xl/worksheets/sheet5.xml><?xml version="1.0" encoding="utf-8"?>
<worksheet xmlns="http://schemas.openxmlformats.org/spreadsheetml/2006/main">
  <sheetPr>
    <tabColor rgb="00005A8C"/>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17" customWidth="1" min="3" max="3"/>
    <col width="15" customWidth="1" min="4" max="4"/>
    <col width="48" customWidth="1" min="5" max="5"/>
    <col width="52" customWidth="1" min="6" max="6"/>
    <col width="3" customWidth="1" min="7" max="7"/>
  </cols>
  <sheetData>
    <row r="1" ht="30" customHeight="1">
      <c r="A1" s="1" t="inlineStr">
        <is>
          <t>T3  ·  Additivity Audit  —  and the ratio that lies by 3%</t>
        </is>
      </c>
    </row>
    <row r="2" ht="30" customHeight="1">
      <c r="A2" s="2" t="inlineStr">
        <is>
          <t>A measure is only useful once you know which dimensions you may add it across. Classify ten measures, then prove the ratio trap on PakFreight's own 34 rows.</t>
        </is>
      </c>
    </row>
    <row r="4" ht="30" customHeight="1">
      <c r="A4" s="6" t="inlineStr">
        <is>
          <t>#</t>
        </is>
      </c>
      <c r="B4" s="6" t="inlineStr">
        <is>
          <t>Candidate measure</t>
        </is>
      </c>
      <c r="C4" s="6" t="inlineStr">
        <is>
          <t>Additive / Semi / Non</t>
        </is>
      </c>
      <c r="D4" s="6" t="inlineStr">
        <is>
          <t>Safe to SUM across time?</t>
        </is>
      </c>
      <c r="E4" s="6" t="inlineStr">
        <is>
          <t>What should you store instead?</t>
        </is>
      </c>
      <c r="F4" s="6" t="inlineStr">
        <is>
          <t>Notes / your reasoning</t>
        </is>
      </c>
    </row>
    <row r="5" ht="28" customHeight="1">
      <c r="A5" s="9" t="n">
        <v>1</v>
      </c>
      <c r="B5" s="30" t="inlineStr">
        <is>
          <t>WeightKG</t>
        </is>
      </c>
      <c r="C5" s="19" t="inlineStr"/>
      <c r="D5" s="19" t="inlineStr"/>
      <c r="E5" s="19" t="inlineStr"/>
      <c r="F5" s="19" t="inlineStr"/>
    </row>
    <row r="6" ht="28" customHeight="1">
      <c r="A6" s="9" t="n">
        <v>2</v>
      </c>
      <c r="B6" s="30" t="inlineStr">
        <is>
          <t>FreightCostPKR</t>
        </is>
      </c>
      <c r="C6" s="19" t="inlineStr"/>
      <c r="D6" s="19" t="inlineStr"/>
      <c r="E6" s="19" t="inlineStr"/>
      <c r="F6" s="19" t="inlineStr"/>
    </row>
    <row r="7" ht="28" customHeight="1">
      <c r="A7" s="9" t="n">
        <v>3</v>
      </c>
      <c r="B7" s="30" t="inlineStr">
        <is>
          <t>ShipmentCount (=1)</t>
        </is>
      </c>
      <c r="C7" s="19" t="inlineStr"/>
      <c r="D7" s="19" t="inlineStr"/>
      <c r="E7" s="19" t="inlineStr"/>
      <c r="F7" s="19" t="inlineStr"/>
    </row>
    <row r="8" ht="28" customHeight="1">
      <c r="A8" s="9" t="n">
        <v>4</v>
      </c>
      <c r="B8" s="30" t="inlineStr">
        <is>
          <t>TrucksAvailable at a depot</t>
        </is>
      </c>
      <c r="C8" s="19" t="inlineStr"/>
      <c r="D8" s="19" t="inlineStr"/>
      <c r="E8" s="19" t="inlineStr"/>
      <c r="F8" s="19" t="inlineStr"/>
    </row>
    <row r="9" ht="28" customHeight="1">
      <c r="A9" s="9" t="n">
        <v>5</v>
      </c>
      <c r="B9" s="30" t="inlineStr">
        <is>
          <t>WarehouseStockKG</t>
        </is>
      </c>
      <c r="C9" s="19" t="inlineStr"/>
      <c r="D9" s="19" t="inlineStr"/>
      <c r="E9" s="19" t="inlineStr"/>
      <c r="F9" s="19" t="inlineStr"/>
    </row>
    <row r="10" ht="28" customHeight="1">
      <c r="A10" s="9" t="n">
        <v>6</v>
      </c>
      <c r="B10" s="30" t="inlineStr">
        <is>
          <t>CostPerKG</t>
        </is>
      </c>
      <c r="C10" s="19" t="inlineStr"/>
      <c r="D10" s="19" t="inlineStr"/>
      <c r="E10" s="19" t="inlineStr"/>
      <c r="F10" s="19" t="inlineStr"/>
    </row>
    <row r="11" ht="28" customHeight="1">
      <c r="A11" s="9" t="n">
        <v>7</v>
      </c>
      <c r="B11" s="30" t="inlineStr">
        <is>
          <t>OnTimePercent</t>
        </is>
      </c>
      <c r="C11" s="19" t="inlineStr"/>
      <c r="D11" s="19" t="inlineStr"/>
      <c r="E11" s="19" t="inlineStr"/>
      <c r="F11" s="19" t="inlineStr"/>
    </row>
    <row r="12" ht="28" customHeight="1">
      <c r="A12" s="9" t="n">
        <v>8</v>
      </c>
      <c r="B12" s="30" t="inlineStr">
        <is>
          <t>TruckUtilisationRate</t>
        </is>
      </c>
      <c r="C12" s="19" t="inlineStr"/>
      <c r="D12" s="19" t="inlineStr"/>
      <c r="E12" s="19" t="inlineStr"/>
      <c r="F12" s="19" t="inlineStr"/>
    </row>
    <row r="13" ht="28" customHeight="1">
      <c r="A13" s="9" t="n">
        <v>9</v>
      </c>
      <c r="B13" s="30" t="inlineStr">
        <is>
          <t>Days_Late</t>
        </is>
      </c>
      <c r="C13" s="19" t="inlineStr"/>
      <c r="D13" s="19" t="inlineStr"/>
      <c r="E13" s="19" t="inlineStr"/>
      <c r="F13" s="19" t="inlineStr"/>
    </row>
    <row r="14" ht="28" customHeight="1">
      <c r="A14" s="9" t="n">
        <v>10</v>
      </c>
      <c r="B14" s="30" t="inlineStr">
        <is>
          <t>AverageWeightPerShipment</t>
        </is>
      </c>
      <c r="C14" s="19" t="inlineStr"/>
      <c r="D14" s="19" t="inlineStr"/>
      <c r="E14" s="19" t="inlineStr"/>
      <c r="F14" s="19" t="inlineStr"/>
    </row>
    <row r="16" ht="22" customHeight="1">
      <c r="A16" s="3" t="inlineStr">
        <is>
          <t>THE PROOF  ·  AVERAGE OF A RATIO vs RATIO OF TWO SUMS  —  SAME 34 ROWS, TWO DIFFERENT ANSWERS</t>
        </is>
      </c>
    </row>
    <row r="17" ht="24" customHeight="1">
      <c r="B17" s="8" t="inlineStr">
        <is>
          <t>WRONG — average the per-row ratio</t>
        </is>
      </c>
      <c r="C17" s="31">
        <f>SUMPRODUCT(Shipments_Unified!F5:F38/Shipments_Unified!E5:E38)/34</f>
        <v/>
      </c>
      <c r="D17" s="10" t="inlineStr">
        <is>
          <t>What AVERAGE(Cost/Weight) gives you, and what a careless DAX measure gives you.</t>
        </is>
      </c>
    </row>
    <row r="18" ht="24" customHeight="1">
      <c r="B18" s="8" t="inlineStr">
        <is>
          <t>RIGHT — divide the two sums</t>
        </is>
      </c>
      <c r="C18" s="31">
        <f>SUM(Shipments_Unified!F5:F38)/SUM(Shipments_Unified!E5:E38)</f>
        <v/>
      </c>
      <c r="D18" s="10" t="inlineStr">
        <is>
          <t>What DIVIDE(SUM(Cost), SUM(Weight)) gives you. The only version that is correct at every level.</t>
        </is>
      </c>
    </row>
    <row r="19" ht="24" customHeight="1">
      <c r="B19" s="8" t="inlineStr">
        <is>
          <t>The gap, in PKR per kg</t>
        </is>
      </c>
      <c r="C19" s="31">
        <f>C18-C17</f>
        <v/>
      </c>
      <c r="D19" s="10" t="inlineStr">
        <is>
          <t>Small enough that nobody notices. On PakFreight's real annual volume it is tens of millions.</t>
        </is>
      </c>
    </row>
    <row r="20" ht="24" customHeight="1">
      <c r="B20" s="8" t="inlineStr">
        <is>
          <t>The gap, as a percentage</t>
        </is>
      </c>
      <c r="C20" s="32">
        <f>(C18-C17)/C17</f>
        <v/>
      </c>
      <c r="D20" s="10" t="inlineStr">
        <is>
          <t>No error is raised. No cell turns red. The number is simply wrong.</t>
        </is>
      </c>
    </row>
    <row r="21">
      <c r="B21" s="33" t="inlineStr">
        <is>
          <t>Expected: 8.0604 (wrong) and 8.3090 (right)</t>
        </is>
      </c>
    </row>
    <row r="23" ht="22" customHeight="1">
      <c r="A23" s="3" t="inlineStr">
        <is>
          <t>ANSWER IN ONE LINE EACH</t>
        </is>
      </c>
    </row>
    <row r="24" ht="24" customHeight="1">
      <c r="B24" s="26" t="inlineStr">
        <is>
          <t>Which of the two numbers above would you put on a board slide, and what exactly does the other one measure?</t>
        </is>
      </c>
      <c r="D24" s="19" t="inlineStr"/>
    </row>
    <row r="25" ht="24" customHeight="1"/>
    <row r="26" ht="24" customHeight="1">
      <c r="B26" s="26" t="inlineStr">
        <is>
          <t>PakFreight's CFO asks for 'average cost per kg by province'. Write the rule you will follow so the provincial numbers still roll up to the national one.</t>
        </is>
      </c>
      <c r="D26" s="19" t="inlineStr"/>
    </row>
    <row r="27" ht="24" customHeight="1"/>
    <row r="28" ht="24" customHeight="1">
      <c r="B28" s="26" t="inlineStr">
        <is>
          <t>Name the one measure in the table above whose correct answer is 'delete the column', and say why a stored average can never be fixed later.</t>
        </is>
      </c>
      <c r="D28" s="19" t="inlineStr"/>
    </row>
    <row r="29" ht="24" customHeight="1"/>
    <row r="31" ht="26" customHeight="1">
      <c r="A31" s="24" t="inlineStr">
        <is>
          <t>Marking, 10 marks: classification 5 (half a mark per row) · 'store instead' column 2 · the three questions 3. Full marks on question 1 require naming what 8.06 actually measures — 'it is wrong' is not an answer.</t>
        </is>
      </c>
    </row>
  </sheetData>
  <mergeCells count="15">
    <mergeCell ref="A2:F2"/>
    <mergeCell ref="A16:F16"/>
    <mergeCell ref="D19:F19"/>
    <mergeCell ref="D28:F29"/>
    <mergeCell ref="A1:F1"/>
    <mergeCell ref="A23:F23"/>
    <mergeCell ref="D18:F18"/>
    <mergeCell ref="D24:F25"/>
    <mergeCell ref="B26:C27"/>
    <mergeCell ref="D17:F17"/>
    <mergeCell ref="B24:C25"/>
    <mergeCell ref="B28:C29"/>
    <mergeCell ref="D26:F27"/>
    <mergeCell ref="A31:F31"/>
    <mergeCell ref="D20:F20"/>
  </mergeCells>
  <dataValidations count="2">
    <dataValidation sqref="C5 C6 C7 C8 C9 C10 C11 C12 C13 C14" showDropDown="0" showInputMessage="0" showErrorMessage="0" allowBlank="1" type="list">
      <formula1>"Additive,Semi-additive,Non-additive"</formula1>
    </dataValidation>
    <dataValidation sqref="D5 D6 D7 D8 D9 D10 D11 D12 D13 D1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005A8C"/>
    <outlinePr summaryBelow="1" summaryRight="1"/>
    <pageSetUpPr/>
  </sheetPr>
  <dimension ref="A1:O44"/>
  <sheetViews>
    <sheetView showGridLines="0" workbookViewId="0">
      <pane ySplit="5" topLeftCell="A6" activePane="bottomLeft" state="frozen"/>
      <selection pane="bottomLeft" activeCell="A1" sqref="A1"/>
    </sheetView>
  </sheetViews>
  <sheetFormatPr baseColWidth="8" defaultRowHeight="15"/>
  <cols>
    <col width="4" customWidth="1" min="1" max="1"/>
    <col width="26" customWidth="1" min="2" max="2"/>
    <col width="18" customWidth="1" min="3" max="3"/>
    <col width="20" customWidth="1" min="4" max="4"/>
    <col width="11" customWidth="1" min="5" max="5"/>
    <col width="11" customWidth="1" min="6" max="6"/>
    <col width="22" customWidth="1" min="7" max="7"/>
    <col width="3" customWidth="1" min="8" max="8"/>
    <col width="9" customWidth="1" min="9" max="9"/>
    <col width="16" customWidth="1" min="10" max="10"/>
    <col width="20" customWidth="1" min="11" max="11"/>
    <col width="11" customWidth="1" min="12" max="12"/>
    <col width="11" customWidth="1" min="13" max="13"/>
    <col width="22" customWidth="1" min="14" max="14"/>
    <col width="44" customWidth="1" min="15" max="15"/>
  </cols>
  <sheetData>
    <row r="1" ht="30" customHeight="1">
      <c r="A1" s="1" t="inlineStr">
        <is>
          <t>T4  ·  Conform 23 Location Strings into 14 Cities</t>
        </is>
      </c>
    </row>
    <row r="2" ht="30" customHeight="1">
      <c r="A2" s="2" t="inlineStr">
        <is>
          <t>This is the editorial act of dimensional modelling, and it is yours. Block 1: decide what each raw string really is. Block 2: build the dimension, one row per real-world city, with a surrogate key you mint yourself.</t>
        </is>
      </c>
    </row>
    <row r="4" ht="22" customHeight="1">
      <c r="A4" s="3" t="inlineStr">
        <is>
          <t>BLOCK 1  ·  THE CONFORMING MAP  —  23 RAW STRINGS, EXACTLY AS THE SOURCE SYSTEMS WROTE THEM</t>
        </is>
      </c>
    </row>
    <row r="5" ht="30" customHeight="1">
      <c r="A5" s="6" t="inlineStr">
        <is>
          <t>#</t>
        </is>
      </c>
      <c r="B5" s="6" t="inlineStr">
        <is>
          <t>Raw location string (grey — do not edit)</t>
        </is>
      </c>
      <c r="C5" s="6" t="inlineStr">
        <is>
          <t>Conformed CityName</t>
        </is>
      </c>
      <c r="D5" s="6" t="inlineStr">
        <is>
          <t>Province</t>
        </is>
      </c>
      <c r="E5" s="6" t="inlineStr">
        <is>
          <t>Region</t>
        </is>
      </c>
      <c r="F5" s="6" t="inlineStr">
        <is>
          <t>Port city?</t>
        </is>
      </c>
      <c r="G5" s="6" t="inlineStr">
        <is>
          <t>Facility type</t>
        </is>
      </c>
      <c r="I5" s="6" t="inlineStr">
        <is>
          <t>CityKey</t>
        </is>
      </c>
      <c r="J5" s="6" t="inlineStr">
        <is>
          <t>CityName</t>
        </is>
      </c>
      <c r="K5" s="6" t="inlineStr">
        <is>
          <t>Province</t>
        </is>
      </c>
      <c r="L5" s="6" t="inlineStr">
        <is>
          <t>Region</t>
        </is>
      </c>
      <c r="M5" s="6" t="inlineStr">
        <is>
          <t>Port?</t>
        </is>
      </c>
      <c r="N5" s="6" t="inlineStr">
        <is>
          <t>FacilityType</t>
        </is>
      </c>
      <c r="O5" s="6" t="inlineStr">
        <is>
          <t>SourceAliases (which raw strings map here)</t>
        </is>
      </c>
    </row>
    <row r="6" ht="26" customHeight="1">
      <c r="A6" s="9" t="n">
        <v>1</v>
      </c>
      <c r="B6" s="20" t="inlineStr">
        <is>
          <t>Karachi Port</t>
        </is>
      </c>
      <c r="C6" s="19" t="inlineStr"/>
      <c r="D6" s="19" t="inlineStr"/>
      <c r="E6" s="19" t="inlineStr"/>
      <c r="F6" s="19" t="inlineStr"/>
      <c r="G6" s="19" t="inlineStr"/>
      <c r="I6" s="34" t="n">
        <v>1</v>
      </c>
      <c r="J6" s="13" t="inlineStr"/>
      <c r="K6" s="25">
        <f>IF($J6="","",IFERROR(INDEX(D$6:D$28,MATCH($J6,$C$6:$C$28,0)),"?"))</f>
        <v/>
      </c>
      <c r="L6" s="25">
        <f>IF($J6="","",IFERROR(INDEX(E$6:E$28,MATCH($J6,$C$6:$C$28,0)),"?"))</f>
        <v/>
      </c>
      <c r="M6" s="25">
        <f>IF($J6="","",IFERROR(INDEX(F$6:F$28,MATCH($J6,$C$6:$C$28,0)),"?"))</f>
        <v/>
      </c>
      <c r="N6" s="19">
        <f>IF($J6="","",IFERROR(INDEX(G$6:G$28,MATCH($J6,$C$6:$C$28,0)),"?"))</f>
        <v/>
      </c>
      <c r="O6" s="35">
        <f>IF($J6="","",TEXTJOIN(" | ",TRUE,IF($C$6:$C$28=$J6,$B$6:$B$28,"")))</f>
        <v/>
      </c>
    </row>
    <row r="7" ht="26" customHeight="1">
      <c r="A7" s="9" t="n">
        <v>2</v>
      </c>
      <c r="B7" s="20" t="inlineStr">
        <is>
          <t>Port Qasim</t>
        </is>
      </c>
      <c r="C7" s="19" t="inlineStr"/>
      <c r="D7" s="19" t="inlineStr"/>
      <c r="E7" s="19" t="inlineStr"/>
      <c r="F7" s="19" t="inlineStr"/>
      <c r="G7" s="19" t="inlineStr"/>
      <c r="I7" s="34" t="n">
        <v>2</v>
      </c>
      <c r="J7" s="13" t="inlineStr"/>
      <c r="K7" s="25">
        <f>IF($J7="","",IFERROR(INDEX(D$6:D$28,MATCH($J7,$C$6:$C$28,0)),"?"))</f>
        <v/>
      </c>
      <c r="L7" s="25">
        <f>IF($J7="","",IFERROR(INDEX(E$6:E$28,MATCH($J7,$C$6:$C$28,0)),"?"))</f>
        <v/>
      </c>
      <c r="M7" s="25">
        <f>IF($J7="","",IFERROR(INDEX(F$6:F$28,MATCH($J7,$C$6:$C$28,0)),"?"))</f>
        <v/>
      </c>
      <c r="N7" s="19">
        <f>IF($J7="","",IFERROR(INDEX(G$6:G$28,MATCH($J7,$C$6:$C$28,0)),"?"))</f>
        <v/>
      </c>
      <c r="O7" s="35">
        <f>IF($J7="","",TEXTJOIN(" | ",TRUE,IF($C$6:$C$28=$J7,$B$6:$B$28,"")))</f>
        <v/>
      </c>
    </row>
    <row r="8" ht="26" customHeight="1">
      <c r="A8" s="9" t="n">
        <v>3</v>
      </c>
      <c r="B8" s="20" t="inlineStr">
        <is>
          <t>Gwadar Port</t>
        </is>
      </c>
      <c r="C8" s="19" t="inlineStr"/>
      <c r="D8" s="19" t="inlineStr"/>
      <c r="E8" s="19" t="inlineStr"/>
      <c r="F8" s="19" t="inlineStr"/>
      <c r="G8" s="19" t="inlineStr"/>
      <c r="I8" s="34" t="n">
        <v>3</v>
      </c>
      <c r="J8" s="13" t="inlineStr"/>
      <c r="K8" s="25">
        <f>IF($J8="","",IFERROR(INDEX(D$6:D$28,MATCH($J8,$C$6:$C$28,0)),"?"))</f>
        <v/>
      </c>
      <c r="L8" s="25">
        <f>IF($J8="","",IFERROR(INDEX(E$6:E$28,MATCH($J8,$C$6:$C$28,0)),"?"))</f>
        <v/>
      </c>
      <c r="M8" s="25">
        <f>IF($J8="","",IFERROR(INDEX(F$6:F$28,MATCH($J8,$C$6:$C$28,0)),"?"))</f>
        <v/>
      </c>
      <c r="N8" s="19">
        <f>IF($J8="","",IFERROR(INDEX(G$6:G$28,MATCH($J8,$C$6:$C$28,0)),"?"))</f>
        <v/>
      </c>
      <c r="O8" s="35">
        <f>IF($J8="","",TEXTJOIN(" | ",TRUE,IF($C$6:$C$28=$J8,$B$6:$B$28,"")))</f>
        <v/>
      </c>
    </row>
    <row r="9" ht="26" customHeight="1">
      <c r="A9" s="9" t="n">
        <v>4</v>
      </c>
      <c r="B9" s="20" t="inlineStr">
        <is>
          <t>Karachi Cantt</t>
        </is>
      </c>
      <c r="C9" s="19" t="inlineStr"/>
      <c r="D9" s="19" t="inlineStr"/>
      <c r="E9" s="19" t="inlineStr"/>
      <c r="F9" s="19" t="inlineStr"/>
      <c r="G9" s="19" t="inlineStr"/>
      <c r="I9" s="34" t="n">
        <v>4</v>
      </c>
      <c r="J9" s="13" t="inlineStr"/>
      <c r="K9" s="25">
        <f>IF($J9="","",IFERROR(INDEX(D$6:D$28,MATCH($J9,$C$6:$C$28,0)),"?"))</f>
        <v/>
      </c>
      <c r="L9" s="25">
        <f>IF($J9="","",IFERROR(INDEX(E$6:E$28,MATCH($J9,$C$6:$C$28,0)),"?"))</f>
        <v/>
      </c>
      <c r="M9" s="25">
        <f>IF($J9="","",IFERROR(INDEX(F$6:F$28,MATCH($J9,$C$6:$C$28,0)),"?"))</f>
        <v/>
      </c>
      <c r="N9" s="19">
        <f>IF($J9="","",IFERROR(INDEX(G$6:G$28,MATCH($J9,$C$6:$C$28,0)),"?"))</f>
        <v/>
      </c>
      <c r="O9" s="35">
        <f>IF($J9="","",TEXTJOIN(" | ",TRUE,IF($C$6:$C$28=$J9,$B$6:$B$28,"")))</f>
        <v/>
      </c>
    </row>
    <row r="10" ht="26" customHeight="1">
      <c r="A10" s="9" t="n">
        <v>5</v>
      </c>
      <c r="B10" s="20" t="inlineStr">
        <is>
          <t>Pipri Marshalling Yard</t>
        </is>
      </c>
      <c r="C10" s="19" t="inlineStr"/>
      <c r="D10" s="19" t="inlineStr"/>
      <c r="E10" s="19" t="inlineStr"/>
      <c r="F10" s="19" t="inlineStr"/>
      <c r="G10" s="19" t="inlineStr"/>
      <c r="I10" s="34" t="n">
        <v>5</v>
      </c>
      <c r="J10" s="13" t="inlineStr"/>
      <c r="K10" s="25">
        <f>IF($J10="","",IFERROR(INDEX(D$6:D$28,MATCH($J10,$C$6:$C$28,0)),"?"))</f>
        <v/>
      </c>
      <c r="L10" s="25">
        <f>IF($J10="","",IFERROR(INDEX(E$6:E$28,MATCH($J10,$C$6:$C$28,0)),"?"))</f>
        <v/>
      </c>
      <c r="M10" s="25">
        <f>IF($J10="","",IFERROR(INDEX(F$6:F$28,MATCH($J10,$C$6:$C$28,0)),"?"))</f>
        <v/>
      </c>
      <c r="N10" s="19">
        <f>IF($J10="","",IFERROR(INDEX(G$6:G$28,MATCH($J10,$C$6:$C$28,0)),"?"))</f>
        <v/>
      </c>
      <c r="O10" s="35">
        <f>IF($J10="","",TEXTJOIN(" | ",TRUE,IF($C$6:$C$28=$J10,$B$6:$B$28,"")))</f>
        <v/>
      </c>
    </row>
    <row r="11" ht="26" customHeight="1">
      <c r="A11" s="9" t="n">
        <v>6</v>
      </c>
      <c r="B11" s="20" t="inlineStr">
        <is>
          <t>Lahore</t>
        </is>
      </c>
      <c r="C11" s="19" t="inlineStr"/>
      <c r="D11" s="19" t="inlineStr"/>
      <c r="E11" s="19" t="inlineStr"/>
      <c r="F11" s="19" t="inlineStr"/>
      <c r="G11" s="19" t="inlineStr"/>
      <c r="I11" s="34" t="n">
        <v>6</v>
      </c>
      <c r="J11" s="13" t="inlineStr"/>
      <c r="K11" s="25">
        <f>IF($J11="","",IFERROR(INDEX(D$6:D$28,MATCH($J11,$C$6:$C$28,0)),"?"))</f>
        <v/>
      </c>
      <c r="L11" s="25">
        <f>IF($J11="","",IFERROR(INDEX(E$6:E$28,MATCH($J11,$C$6:$C$28,0)),"?"))</f>
        <v/>
      </c>
      <c r="M11" s="25">
        <f>IF($J11="","",IFERROR(INDEX(F$6:F$28,MATCH($J11,$C$6:$C$28,0)),"?"))</f>
        <v/>
      </c>
      <c r="N11" s="19">
        <f>IF($J11="","",IFERROR(INDEX(G$6:G$28,MATCH($J11,$C$6:$C$28,0)),"?"))</f>
        <v/>
      </c>
      <c r="O11" s="35">
        <f>IF($J11="","",TEXTJOIN(" | ",TRUE,IF($C$6:$C$28=$J11,$B$6:$B$28,"")))</f>
        <v/>
      </c>
    </row>
    <row r="12" ht="26" customHeight="1">
      <c r="A12" s="9" t="n">
        <v>7</v>
      </c>
      <c r="B12" s="20" t="inlineStr">
        <is>
          <t>Karachi</t>
        </is>
      </c>
      <c r="C12" s="19" t="inlineStr"/>
      <c r="D12" s="19" t="inlineStr"/>
      <c r="E12" s="19" t="inlineStr"/>
      <c r="F12" s="19" t="inlineStr"/>
      <c r="G12" s="19" t="inlineStr"/>
      <c r="I12" s="34" t="n">
        <v>7</v>
      </c>
      <c r="J12" s="13" t="inlineStr"/>
      <c r="K12" s="25">
        <f>IF($J12="","",IFERROR(INDEX(D$6:D$28,MATCH($J12,$C$6:$C$28,0)),"?"))</f>
        <v/>
      </c>
      <c r="L12" s="25">
        <f>IF($J12="","",IFERROR(INDEX(E$6:E$28,MATCH($J12,$C$6:$C$28,0)),"?"))</f>
        <v/>
      </c>
      <c r="M12" s="25">
        <f>IF($J12="","",IFERROR(INDEX(F$6:F$28,MATCH($J12,$C$6:$C$28,0)),"?"))</f>
        <v/>
      </c>
      <c r="N12" s="19">
        <f>IF($J12="","",IFERROR(INDEX(G$6:G$28,MATCH($J12,$C$6:$C$28,0)),"?"))</f>
        <v/>
      </c>
      <c r="O12" s="35">
        <f>IF($J12="","",TEXTJOIN(" | ",TRUE,IF($C$6:$C$28=$J12,$B$6:$B$28,"")))</f>
        <v/>
      </c>
    </row>
    <row r="13" ht="26" customHeight="1">
      <c r="A13" s="9" t="n">
        <v>8</v>
      </c>
      <c r="B13" s="20" t="inlineStr">
        <is>
          <t>Multan</t>
        </is>
      </c>
      <c r="C13" s="19" t="inlineStr"/>
      <c r="D13" s="19" t="inlineStr"/>
      <c r="E13" s="19" t="inlineStr"/>
      <c r="F13" s="19" t="inlineStr"/>
      <c r="G13" s="19" t="inlineStr"/>
      <c r="I13" s="34" t="n">
        <v>8</v>
      </c>
      <c r="J13" s="13" t="inlineStr"/>
      <c r="K13" s="25">
        <f>IF($J13="","",IFERROR(INDEX(D$6:D$28,MATCH($J13,$C$6:$C$28,0)),"?"))</f>
        <v/>
      </c>
      <c r="L13" s="25">
        <f>IF($J13="","",IFERROR(INDEX(E$6:E$28,MATCH($J13,$C$6:$C$28,0)),"?"))</f>
        <v/>
      </c>
      <c r="M13" s="25">
        <f>IF($J13="","",IFERROR(INDEX(F$6:F$28,MATCH($J13,$C$6:$C$28,0)),"?"))</f>
        <v/>
      </c>
      <c r="N13" s="19">
        <f>IF($J13="","",IFERROR(INDEX(G$6:G$28,MATCH($J13,$C$6:$C$28,0)),"?"))</f>
        <v/>
      </c>
      <c r="O13" s="35">
        <f>IF($J13="","",TEXTJOIN(" | ",TRUE,IF($C$6:$C$28=$J13,$B$6:$B$28,"")))</f>
        <v/>
      </c>
    </row>
    <row r="14" ht="26" customHeight="1">
      <c r="A14" s="9" t="n">
        <v>9</v>
      </c>
      <c r="B14" s="20" t="inlineStr">
        <is>
          <t>Islamabad</t>
        </is>
      </c>
      <c r="C14" s="19" t="inlineStr"/>
      <c r="D14" s="19" t="inlineStr"/>
      <c r="E14" s="19" t="inlineStr"/>
      <c r="F14" s="19" t="inlineStr"/>
      <c r="G14" s="19" t="inlineStr"/>
      <c r="I14" s="34" t="n">
        <v>9</v>
      </c>
      <c r="J14" s="13" t="inlineStr"/>
      <c r="K14" s="25">
        <f>IF($J14="","",IFERROR(INDEX(D$6:D$28,MATCH($J14,$C$6:$C$28,0)),"?"))</f>
        <v/>
      </c>
      <c r="L14" s="25">
        <f>IF($J14="","",IFERROR(INDEX(E$6:E$28,MATCH($J14,$C$6:$C$28,0)),"?"))</f>
        <v/>
      </c>
      <c r="M14" s="25">
        <f>IF($J14="","",IFERROR(INDEX(F$6:F$28,MATCH($J14,$C$6:$C$28,0)),"?"))</f>
        <v/>
      </c>
      <c r="N14" s="19">
        <f>IF($J14="","",IFERROR(INDEX(G$6:G$28,MATCH($J14,$C$6:$C$28,0)),"?"))</f>
        <v/>
      </c>
      <c r="O14" s="35">
        <f>IF($J14="","",TEXTJOIN(" | ",TRUE,IF($C$6:$C$28=$J14,$B$6:$B$28,"")))</f>
        <v/>
      </c>
    </row>
    <row r="15" ht="26" customHeight="1">
      <c r="A15" s="9" t="n">
        <v>10</v>
      </c>
      <c r="B15" s="20" t="inlineStr">
        <is>
          <t>Quetta</t>
        </is>
      </c>
      <c r="C15" s="19" t="inlineStr"/>
      <c r="D15" s="19" t="inlineStr"/>
      <c r="E15" s="19" t="inlineStr"/>
      <c r="F15" s="19" t="inlineStr"/>
      <c r="G15" s="19" t="inlineStr"/>
      <c r="I15" s="34" t="n">
        <v>10</v>
      </c>
      <c r="J15" s="13" t="inlineStr"/>
      <c r="K15" s="25">
        <f>IF($J15="","",IFERROR(INDEX(D$6:D$28,MATCH($J15,$C$6:$C$28,0)),"?"))</f>
        <v/>
      </c>
      <c r="L15" s="25">
        <f>IF($J15="","",IFERROR(INDEX(E$6:E$28,MATCH($J15,$C$6:$C$28,0)),"?"))</f>
        <v/>
      </c>
      <c r="M15" s="25">
        <f>IF($J15="","",IFERROR(INDEX(F$6:F$28,MATCH($J15,$C$6:$C$28,0)),"?"))</f>
        <v/>
      </c>
      <c r="N15" s="19">
        <f>IF($J15="","",IFERROR(INDEX(G$6:G$28,MATCH($J15,$C$6:$C$28,0)),"?"))</f>
        <v/>
      </c>
      <c r="O15" s="35">
        <f>IF($J15="","",TEXTJOIN(" | ",TRUE,IF($C$6:$C$28=$J15,$B$6:$B$28,"")))</f>
        <v/>
      </c>
    </row>
    <row r="16" ht="26" customHeight="1">
      <c r="A16" s="9" t="n">
        <v>11</v>
      </c>
      <c r="B16" s="20" t="inlineStr">
        <is>
          <t>Faisalabad</t>
        </is>
      </c>
      <c r="C16" s="19" t="inlineStr"/>
      <c r="D16" s="19" t="inlineStr"/>
      <c r="E16" s="19" t="inlineStr"/>
      <c r="F16" s="19" t="inlineStr"/>
      <c r="G16" s="19" t="inlineStr"/>
      <c r="I16" s="34" t="n">
        <v>11</v>
      </c>
      <c r="J16" s="13" t="inlineStr"/>
      <c r="K16" s="25">
        <f>IF($J16="","",IFERROR(INDEX(D$6:D$28,MATCH($J16,$C$6:$C$28,0)),"?"))</f>
        <v/>
      </c>
      <c r="L16" s="25">
        <f>IF($J16="","",IFERROR(INDEX(E$6:E$28,MATCH($J16,$C$6:$C$28,0)),"?"))</f>
        <v/>
      </c>
      <c r="M16" s="25">
        <f>IF($J16="","",IFERROR(INDEX(F$6:F$28,MATCH($J16,$C$6:$C$28,0)),"?"))</f>
        <v/>
      </c>
      <c r="N16" s="19">
        <f>IF($J16="","",IFERROR(INDEX(G$6:G$28,MATCH($J16,$C$6:$C$28,0)),"?"))</f>
        <v/>
      </c>
      <c r="O16" s="35">
        <f>IF($J16="","",TEXTJOIN(" | ",TRUE,IF($C$6:$C$28=$J16,$B$6:$B$28,"")))</f>
        <v/>
      </c>
    </row>
    <row r="17" ht="26" customHeight="1">
      <c r="A17" s="9" t="n">
        <v>12</v>
      </c>
      <c r="B17" s="20" t="inlineStr">
        <is>
          <t>Rawalpindi</t>
        </is>
      </c>
      <c r="C17" s="19" t="inlineStr"/>
      <c r="D17" s="19" t="inlineStr"/>
      <c r="E17" s="19" t="inlineStr"/>
      <c r="F17" s="19" t="inlineStr"/>
      <c r="G17" s="19" t="inlineStr"/>
      <c r="I17" s="34" t="n">
        <v>12</v>
      </c>
      <c r="J17" s="13" t="inlineStr"/>
      <c r="K17" s="25">
        <f>IF($J17="","",IFERROR(INDEX(D$6:D$28,MATCH($J17,$C$6:$C$28,0)),"?"))</f>
        <v/>
      </c>
      <c r="L17" s="25">
        <f>IF($J17="","",IFERROR(INDEX(E$6:E$28,MATCH($J17,$C$6:$C$28,0)),"?"))</f>
        <v/>
      </c>
      <c r="M17" s="25">
        <f>IF($J17="","",IFERROR(INDEX(F$6:F$28,MATCH($J17,$C$6:$C$28,0)),"?"))</f>
        <v/>
      </c>
      <c r="N17" s="19">
        <f>IF($J17="","",IFERROR(INDEX(G$6:G$28,MATCH($J17,$C$6:$C$28,0)),"?"))</f>
        <v/>
      </c>
      <c r="O17" s="35">
        <f>IF($J17="","",TEXTJOIN(" | ",TRUE,IF($C$6:$C$28=$J17,$B$6:$B$28,"")))</f>
        <v/>
      </c>
    </row>
    <row r="18" ht="26" customHeight="1">
      <c r="A18" s="9" t="n">
        <v>13</v>
      </c>
      <c r="B18" s="20" t="inlineStr">
        <is>
          <t>Lahore Dry Port</t>
        </is>
      </c>
      <c r="C18" s="19" t="inlineStr"/>
      <c r="D18" s="19" t="inlineStr"/>
      <c r="E18" s="19" t="inlineStr"/>
      <c r="F18" s="19" t="inlineStr"/>
      <c r="G18" s="19" t="inlineStr"/>
      <c r="I18" s="34" t="n">
        <v>13</v>
      </c>
      <c r="J18" s="13" t="inlineStr"/>
      <c r="K18" s="25">
        <f>IF($J18="","",IFERROR(INDEX(D$6:D$28,MATCH($J18,$C$6:$C$28,0)),"?"))</f>
        <v/>
      </c>
      <c r="L18" s="25">
        <f>IF($J18="","",IFERROR(INDEX(E$6:E$28,MATCH($J18,$C$6:$C$28,0)),"?"))</f>
        <v/>
      </c>
      <c r="M18" s="25">
        <f>IF($J18="","",IFERROR(INDEX(F$6:F$28,MATCH($J18,$C$6:$C$28,0)),"?"))</f>
        <v/>
      </c>
      <c r="N18" s="19">
        <f>IF($J18="","",IFERROR(INDEX(G$6:G$28,MATCH($J18,$C$6:$C$28,0)),"?"))</f>
        <v/>
      </c>
      <c r="O18" s="35">
        <f>IF($J18="","",TEXTJOIN(" | ",TRUE,IF($C$6:$C$28=$J18,$B$6:$B$28,"")))</f>
        <v/>
      </c>
    </row>
    <row r="19" ht="26" customHeight="1">
      <c r="A19" s="9" t="n">
        <v>14</v>
      </c>
      <c r="B19" s="20" t="inlineStr">
        <is>
          <t>Faisalabad Dry Port</t>
        </is>
      </c>
      <c r="C19" s="19" t="inlineStr"/>
      <c r="D19" s="19" t="inlineStr"/>
      <c r="E19" s="19" t="inlineStr"/>
      <c r="F19" s="19" t="inlineStr"/>
      <c r="G19" s="19" t="inlineStr"/>
      <c r="I19" s="34" t="n">
        <v>14</v>
      </c>
      <c r="J19" s="13" t="inlineStr"/>
      <c r="K19" s="25">
        <f>IF($J19="","",IFERROR(INDEX(D$6:D$28,MATCH($J19,$C$6:$C$28,0)),"?"))</f>
        <v/>
      </c>
      <c r="L19" s="25">
        <f>IF($J19="","",IFERROR(INDEX(E$6:E$28,MATCH($J19,$C$6:$C$28,0)),"?"))</f>
        <v/>
      </c>
      <c r="M19" s="25">
        <f>IF($J19="","",IFERROR(INDEX(F$6:F$28,MATCH($J19,$C$6:$C$28,0)),"?"))</f>
        <v/>
      </c>
      <c r="N19" s="19">
        <f>IF($J19="","",IFERROR(INDEX(G$6:G$28,MATCH($J19,$C$6:$C$28,0)),"?"))</f>
        <v/>
      </c>
      <c r="O19" s="35">
        <f>IF($J19="","",TEXTJOIN(" | ",TRUE,IF($C$6:$C$28=$J19,$B$6:$B$28,"")))</f>
        <v/>
      </c>
    </row>
    <row r="20" ht="26" customHeight="1">
      <c r="A20" s="9" t="n">
        <v>15</v>
      </c>
      <c r="B20" s="20" t="inlineStr">
        <is>
          <t>Sialkot Dry Port</t>
        </is>
      </c>
      <c r="C20" s="19" t="inlineStr"/>
      <c r="D20" s="19" t="inlineStr"/>
      <c r="E20" s="19" t="inlineStr"/>
      <c r="F20" s="19" t="inlineStr"/>
      <c r="G20" s="19" t="inlineStr"/>
      <c r="I20" s="34" t="n">
        <v>-1</v>
      </c>
      <c r="J20" s="13" t="inlineStr"/>
      <c r="K20" s="25">
        <f>IF($J20="","",IFERROR(INDEX(D$6:D$28,MATCH($J20,$C$6:$C$28,0)),"?"))</f>
        <v/>
      </c>
      <c r="L20" s="25">
        <f>IF($J20="","",IFERROR(INDEX(E$6:E$28,MATCH($J20,$C$6:$C$28,0)),"?"))</f>
        <v/>
      </c>
      <c r="M20" s="25">
        <f>IF($J20="","",IFERROR(INDEX(F$6:F$28,MATCH($J20,$C$6:$C$28,0)),"?"))</f>
        <v/>
      </c>
      <c r="N20" s="19">
        <f>IF($J20="","",IFERROR(INDEX(G$6:G$28,MATCH($J20,$C$6:$C$28,0)),"?"))</f>
        <v/>
      </c>
      <c r="O20" s="35">
        <f>IF($J20="","",TEXTJOIN(" | ",TRUE,IF($C$6:$C$28=$J20,$B$6:$B$28,"")))</f>
        <v/>
      </c>
    </row>
    <row r="21">
      <c r="A21" s="9" t="n">
        <v>16</v>
      </c>
      <c r="B21" s="20" t="inlineStr">
        <is>
          <t>Peshawar</t>
        </is>
      </c>
      <c r="C21" s="19" t="inlineStr"/>
      <c r="D21" s="19" t="inlineStr"/>
      <c r="E21" s="19" t="inlineStr"/>
      <c r="F21" s="19" t="inlineStr"/>
      <c r="G21" s="19" t="inlineStr"/>
    </row>
    <row r="22">
      <c r="A22" s="9" t="n">
        <v>17</v>
      </c>
      <c r="B22" s="20" t="inlineStr">
        <is>
          <t>Islamabad Dry Port</t>
        </is>
      </c>
      <c r="C22" s="19" t="inlineStr"/>
      <c r="D22" s="19" t="inlineStr"/>
      <c r="E22" s="19" t="inlineStr"/>
      <c r="F22" s="19" t="inlineStr"/>
      <c r="G22" s="19" t="inlineStr"/>
    </row>
    <row r="23">
      <c r="A23" s="9" t="n">
        <v>18</v>
      </c>
      <c r="B23" s="20" t="inlineStr">
        <is>
          <t>Hyderabad</t>
        </is>
      </c>
      <c r="C23" s="19" t="inlineStr"/>
      <c r="D23" s="19" t="inlineStr"/>
      <c r="E23" s="19" t="inlineStr"/>
      <c r="F23" s="19" t="inlineStr"/>
      <c r="G23" s="19" t="inlineStr"/>
    </row>
    <row r="24">
      <c r="A24" s="9" t="n">
        <v>19</v>
      </c>
      <c r="B24" s="20" t="inlineStr">
        <is>
          <t>Peshawar Cantt</t>
        </is>
      </c>
      <c r="C24" s="19" t="inlineStr"/>
      <c r="D24" s="19" t="inlineStr"/>
      <c r="E24" s="19" t="inlineStr"/>
      <c r="F24" s="19" t="inlineStr"/>
      <c r="G24" s="19" t="inlineStr"/>
    </row>
    <row r="25">
      <c r="A25" s="9" t="n">
        <v>20</v>
      </c>
      <c r="B25" s="20" t="inlineStr">
        <is>
          <t>Sukkur</t>
        </is>
      </c>
      <c r="C25" s="19" t="inlineStr"/>
      <c r="D25" s="19" t="inlineStr"/>
      <c r="E25" s="19" t="inlineStr"/>
      <c r="F25" s="19" t="inlineStr"/>
      <c r="G25" s="19" t="inlineStr"/>
    </row>
    <row r="26">
      <c r="A26" s="9" t="n">
        <v>21</v>
      </c>
      <c r="B26" s="20" t="inlineStr">
        <is>
          <t>Sialkot</t>
        </is>
      </c>
      <c r="C26" s="19" t="inlineStr"/>
      <c r="D26" s="19" t="inlineStr"/>
      <c r="E26" s="19" t="inlineStr"/>
      <c r="F26" s="19" t="inlineStr"/>
      <c r="G26" s="19" t="inlineStr"/>
    </row>
    <row r="27">
      <c r="A27" s="9" t="n">
        <v>22</v>
      </c>
      <c r="B27" s="20" t="inlineStr">
        <is>
          <t>Gujranwala</t>
        </is>
      </c>
      <c r="C27" s="19" t="inlineStr"/>
      <c r="D27" s="19" t="inlineStr"/>
      <c r="E27" s="19" t="inlineStr"/>
      <c r="F27" s="19" t="inlineStr"/>
      <c r="G27" s="19" t="inlineStr"/>
    </row>
    <row r="28">
      <c r="A28" s="9" t="n">
        <v>23</v>
      </c>
      <c r="B28" s="20" t="inlineStr">
        <is>
          <t>Abbottabad</t>
        </is>
      </c>
      <c r="C28" s="19" t="inlineStr"/>
      <c r="D28" s="19" t="inlineStr"/>
      <c r="E28" s="19" t="inlineStr"/>
      <c r="F28" s="19" t="inlineStr"/>
      <c r="G28" s="19" t="inlineStr"/>
    </row>
    <row r="30" ht="22" customHeight="1">
      <c r="A30" s="3" t="inlineStr">
        <is>
          <t>SELF-CHECK  ·  THESE THREE MUST ALL PASS BEFORE YOU START T5</t>
        </is>
      </c>
    </row>
    <row r="31" ht="30" customHeight="1">
      <c r="B31" s="6" t="inlineStr"/>
      <c r="C31" s="6" t="inlineStr">
        <is>
          <t>Check</t>
        </is>
      </c>
      <c r="D31" s="6" t="inlineStr">
        <is>
          <t>Expected</t>
        </is>
      </c>
      <c r="E31" s="6" t="inlineStr">
        <is>
          <t>Your result</t>
        </is>
      </c>
      <c r="F31" s="6" t="inlineStr">
        <is>
          <t>Pass?</t>
        </is>
      </c>
    </row>
    <row r="32" ht="30" customHeight="1">
      <c r="C32" s="8" t="inlineStr">
        <is>
          <t>Distinct conformed city names in Block 1</t>
        </is>
      </c>
      <c r="D32" s="12" t="n">
        <v>14</v>
      </c>
      <c r="E32" s="36">
        <f>SUMPRODUCT((C6:C28&lt;&gt;"")/COUNTIF(C6:C28,C6:C28&amp;""))</f>
        <v/>
      </c>
      <c r="F32" s="9">
        <f>IF(E32=D32,"✔ pass","✘ fix")</f>
        <v/>
      </c>
      <c r="G32" s="10" t="inlineStr">
        <is>
          <t>If you get 15 or more you have left two spellings of one city apart. If 13 or fewer you have merged two genuinely different cities — check Islamabad against Rawalpindi.</t>
        </is>
      </c>
    </row>
    <row r="33" ht="30" customHeight="1">
      <c r="C33" s="8" t="inlineStr">
        <is>
          <t>Raw strings that map to Karachi</t>
        </is>
      </c>
      <c r="D33" s="12" t="n">
        <v>5</v>
      </c>
      <c r="E33" s="36">
        <f>COUNTIF(C6:C28,"Karachi")</f>
        <v/>
      </c>
      <c r="F33" s="9">
        <f>IF(E33=D33,"✔ pass","✘ fix")</f>
        <v/>
      </c>
      <c r="G33" s="10" t="inlineStr">
        <is>
          <t>Karachi Port, Port Qasim, Karachi Cantt, Pipri Marshalling Yard and plain Karachi are five facilities in one city. Merging them is the whole point; getting 2 means you kept the rail yards separate.</t>
        </is>
      </c>
    </row>
    <row r="34" ht="30" customHeight="1">
      <c r="C34" s="8" t="inlineStr">
        <is>
          <t>Rows in DimCity, excluding the Unknown row</t>
        </is>
      </c>
      <c r="D34" s="12" t="n">
        <v>14</v>
      </c>
      <c r="E34" s="36">
        <f>COUNTIF(I6:I20,"&gt;0")</f>
        <v/>
      </c>
      <c r="F34" s="9">
        <f>IF(E34=D34,"✔ pass","✘ fix")</f>
        <v/>
      </c>
      <c r="G34" s="10" t="inlineStr">
        <is>
          <t>Fourteen cities plus one reserved row with key -1. The -1 row is not optional — T6 needs somewhere to point when a future file arrives with a city nobody has mapped.</t>
        </is>
      </c>
    </row>
    <row r="36" ht="22" customHeight="1">
      <c r="A36" s="3" t="inlineStr">
        <is>
          <t>THE JUDGEMENT CALL  —  ANSWER BEFORE YOU MOVE ON</t>
        </is>
      </c>
    </row>
    <row r="37" ht="30" customHeight="1">
      <c r="B37" s="26" t="inlineStr">
        <is>
          <t>Pipri Marshalling Yard is 40 km from Karachi Cantt and is a separate railway facility. You merged it into Karachi. Name one business decision that choice quietly made for PakFreight.</t>
        </is>
      </c>
      <c r="G37" s="19" t="inlineStr"/>
    </row>
    <row r="38" ht="30" customHeight="1"/>
    <row r="39" ht="30" customHeight="1">
      <c r="B39" s="26" t="inlineStr">
        <is>
          <t>Islamabad is its own territory, not part of Punjab. What breaks in a provincial report if you map it to Punjab, and what breaks if you leave Province blank?</t>
        </is>
      </c>
      <c r="G39" s="19" t="inlineStr"/>
    </row>
    <row r="40" ht="30" customHeight="1"/>
    <row r="41" ht="30" customHeight="1">
      <c r="B41" s="26" t="inlineStr">
        <is>
          <t>A new file arrives next month with 'KHI Port Trust'. Walk through exactly what has to happen, in order, for it to appear correctly in a report.</t>
        </is>
      </c>
      <c r="G41" s="19" t="inlineStr"/>
    </row>
    <row r="42" ht="30" customHeight="1"/>
    <row r="44" ht="26" customHeight="1">
      <c r="A44" s="24" t="inlineStr">
        <is>
          <t>Marking, 20 marks: conforming map 8 · provinces and regions correct 4 · DimCity built with a reused -1 row 4 · the three judgement questions 4. Karachi must be CityKey 1 everywhere it appears for the rest of the workbook to reconcile.</t>
        </is>
      </c>
    </row>
  </sheetData>
  <mergeCells count="15">
    <mergeCell ref="G32:O32"/>
    <mergeCell ref="A2:O2"/>
    <mergeCell ref="G33:O33"/>
    <mergeCell ref="G41:O42"/>
    <mergeCell ref="G39:O40"/>
    <mergeCell ref="A36:O36"/>
    <mergeCell ref="A44:O44"/>
    <mergeCell ref="B41:F42"/>
    <mergeCell ref="A1:O1"/>
    <mergeCell ref="B37:F38"/>
    <mergeCell ref="B39:F40"/>
    <mergeCell ref="A4:O4"/>
    <mergeCell ref="G34:O34"/>
    <mergeCell ref="A30:O30"/>
    <mergeCell ref="G37:O38"/>
  </mergeCells>
  <pageMargins left="0.75" right="0.75" top="1" bottom="1" header="0.5" footer="0.5"/>
</worksheet>
</file>

<file path=xl/worksheets/sheet7.xml><?xml version="1.0" encoding="utf-8"?>
<worksheet xmlns="http://schemas.openxmlformats.org/spreadsheetml/2006/main">
  <sheetPr>
    <tabColor rgb="00005A8C"/>
    <outlinePr summaryBelow="1" summaryRight="1"/>
    <pageSetUpPr/>
  </sheetPr>
  <dimension ref="A1:P94"/>
  <sheetViews>
    <sheetView showGridLines="0" workbookViewId="0">
      <pane ySplit="3" topLeftCell="A4" activePane="bottomLeft" state="frozen"/>
      <selection pane="bottomLeft" activeCell="A1" sqref="A1"/>
    </sheetView>
  </sheetViews>
  <sheetFormatPr baseColWidth="8" defaultRowHeight="15"/>
  <cols>
    <col width="4" customWidth="1" min="1" max="1"/>
    <col width="11" customWidth="1" min="2" max="2"/>
    <col width="13" customWidth="1" min="3" max="3"/>
    <col width="13" customWidth="1" min="4" max="4"/>
    <col width="26" customWidth="1" min="5" max="5"/>
    <col width="22" customWidth="1" min="6" max="6"/>
    <col width="17" customWidth="1" min="7" max="7"/>
    <col width="3" customWidth="1" min="8" max="8"/>
    <col width="26" customWidth="1" min="9" max="9"/>
    <col width="3" customWidth="1" min="10" max="10"/>
    <col width="10" customWidth="1" min="11" max="11"/>
    <col width="12" customWidth="1" min="12" max="12"/>
    <col width="24" customWidth="1" min="13" max="13"/>
    <col width="18" customWidth="1" min="14" max="14"/>
    <col width="20" customWidth="1" min="15" max="15"/>
    <col width="13" customWidth="1" min="16" max="16"/>
  </cols>
  <sheetData>
    <row r="1" ht="30" customHeight="1">
      <c r="A1" s="1" t="inlineStr">
        <is>
          <t>T5  ·  DimRoute, DimMode, DimStatus, DimDate</t>
        </is>
      </c>
    </row>
    <row r="2" ht="30" customHeight="1">
      <c r="A2" s="2" t="inlineStr">
        <is>
          <t>Four more dimensions. One of them contains a trap that the lecture slides walk straight past — find it in Block A before you fill anything in.</t>
        </is>
      </c>
    </row>
    <row r="4" ht="22" customHeight="1">
      <c r="A4" s="3" t="inlineStr">
        <is>
          <t>BLOCK A  ·  DIMROUTE  —  20 ROWS.  BUT THE RAW DATA HAS 30 DISTINCT PAIRS.</t>
        </is>
      </c>
    </row>
    <row r="5" ht="22" customHeight="1">
      <c r="A5" s="37" t="inlineStr">
        <is>
          <t>The lab brief says: 'Keep Origin and Destination, Remove Duplicates → 20 rows.' Try it on Shipments_Unified and you get 30. Column I below lists all 30 raw pairs. Before you build anything: write down why the two numbers differ, and which operation has to happen first.</t>
        </is>
      </c>
    </row>
    <row r="6" ht="22" customHeight="1"/>
    <row r="7" ht="26" customHeight="1">
      <c r="B7" s="8" t="inlineStr">
        <is>
          <t>Your answer:</t>
        </is>
      </c>
      <c r="C7" s="19" t="inlineStr"/>
    </row>
    <row r="8" ht="26" customHeight="1"/>
    <row r="9" ht="30" customHeight="1">
      <c r="A9" s="6" t="inlineStr">
        <is>
          <t>#</t>
        </is>
      </c>
      <c r="B9" s="6" t="inlineStr">
        <is>
          <t>RouteKey</t>
        </is>
      </c>
      <c r="C9" s="6" t="inlineStr">
        <is>
          <t>OriginCityKey</t>
        </is>
      </c>
      <c r="D9" s="6" t="inlineStr">
        <is>
          <t>DestCityKey</t>
        </is>
      </c>
      <c r="E9" s="6" t="inlineStr">
        <is>
          <t>RouteName</t>
        </is>
      </c>
      <c r="F9" s="6" t="inlineStr">
        <is>
          <t>Corridor</t>
        </is>
      </c>
      <c r="G9" s="6" t="inlineStr">
        <is>
          <t>DistanceBand</t>
        </is>
      </c>
      <c r="I9" s="6" t="inlineStr">
        <is>
          <t>The 30 RAW origin → destination pairs (grey)</t>
        </is>
      </c>
    </row>
    <row r="10">
      <c r="A10" s="9" t="n">
        <v>1</v>
      </c>
      <c r="B10" s="34" t="n">
        <v>1</v>
      </c>
      <c r="C10" s="25" t="inlineStr"/>
      <c r="D10" s="25" t="inlineStr"/>
      <c r="E10" s="19" t="inlineStr"/>
      <c r="F10" s="19" t="inlineStr"/>
      <c r="G10" s="25" t="inlineStr"/>
      <c r="I10" s="38" t="inlineStr">
        <is>
          <t>Karachi Port  →  Lahore Dry Port</t>
        </is>
      </c>
    </row>
    <row r="11">
      <c r="A11" s="9" t="n">
        <v>2</v>
      </c>
      <c r="B11" s="34" t="n">
        <v>2</v>
      </c>
      <c r="C11" s="25" t="inlineStr"/>
      <c r="D11" s="25" t="inlineStr"/>
      <c r="E11" s="19" t="inlineStr"/>
      <c r="F11" s="19" t="inlineStr"/>
      <c r="G11" s="25" t="inlineStr"/>
      <c r="I11" s="38" t="inlineStr">
        <is>
          <t>Port Qasim  →  Faisalabad Dry Port</t>
        </is>
      </c>
    </row>
    <row r="12">
      <c r="A12" s="9" t="n">
        <v>3</v>
      </c>
      <c r="B12" s="34" t="n">
        <v>3</v>
      </c>
      <c r="C12" s="25" t="inlineStr"/>
      <c r="D12" s="25" t="inlineStr"/>
      <c r="E12" s="19" t="inlineStr"/>
      <c r="F12" s="19" t="inlineStr"/>
      <c r="G12" s="25" t="inlineStr"/>
      <c r="I12" s="38" t="inlineStr">
        <is>
          <t>Gwadar Port  →  Quetta</t>
        </is>
      </c>
    </row>
    <row r="13">
      <c r="A13" s="9" t="n">
        <v>4</v>
      </c>
      <c r="B13" s="34" t="n">
        <v>4</v>
      </c>
      <c r="C13" s="25" t="inlineStr"/>
      <c r="D13" s="25" t="inlineStr"/>
      <c r="E13" s="19" t="inlineStr"/>
      <c r="F13" s="19" t="inlineStr"/>
      <c r="G13" s="25" t="inlineStr"/>
      <c r="I13" s="38" t="inlineStr">
        <is>
          <t>Port Qasim  →  Multan</t>
        </is>
      </c>
    </row>
    <row r="14">
      <c r="A14" s="9" t="n">
        <v>5</v>
      </c>
      <c r="B14" s="34" t="n">
        <v>5</v>
      </c>
      <c r="C14" s="25" t="inlineStr"/>
      <c r="D14" s="25" t="inlineStr"/>
      <c r="E14" s="19" t="inlineStr"/>
      <c r="F14" s="19" t="inlineStr"/>
      <c r="G14" s="25" t="inlineStr"/>
      <c r="I14" s="38" t="inlineStr">
        <is>
          <t>Karachi Port  →  Sialkot Dry Port</t>
        </is>
      </c>
    </row>
    <row r="15">
      <c r="A15" s="9" t="n">
        <v>6</v>
      </c>
      <c r="B15" s="34" t="n">
        <v>6</v>
      </c>
      <c r="C15" s="25" t="inlineStr"/>
      <c r="D15" s="25" t="inlineStr"/>
      <c r="E15" s="19" t="inlineStr"/>
      <c r="F15" s="19" t="inlineStr"/>
      <c r="G15" s="25" t="inlineStr"/>
      <c r="I15" s="38" t="inlineStr">
        <is>
          <t>Port Qasim  →  Lahore Dry Port</t>
        </is>
      </c>
    </row>
    <row r="16">
      <c r="A16" s="9" t="n">
        <v>7</v>
      </c>
      <c r="B16" s="34" t="n">
        <v>7</v>
      </c>
      <c r="C16" s="25" t="inlineStr"/>
      <c r="D16" s="25" t="inlineStr"/>
      <c r="E16" s="19" t="inlineStr"/>
      <c r="F16" s="19" t="inlineStr"/>
      <c r="G16" s="25" t="inlineStr"/>
      <c r="I16" s="38" t="inlineStr">
        <is>
          <t>Karachi Port  →  Peshawar</t>
        </is>
      </c>
    </row>
    <row r="17">
      <c r="A17" s="9" t="n">
        <v>8</v>
      </c>
      <c r="B17" s="34" t="n">
        <v>8</v>
      </c>
      <c r="C17" s="25" t="inlineStr"/>
      <c r="D17" s="25" t="inlineStr"/>
      <c r="E17" s="19" t="inlineStr"/>
      <c r="F17" s="19" t="inlineStr"/>
      <c r="G17" s="25" t="inlineStr"/>
      <c r="I17" s="38" t="inlineStr">
        <is>
          <t>Gwadar Port  →  Karachi Cantt</t>
        </is>
      </c>
    </row>
    <row r="18">
      <c r="A18" s="9" t="n">
        <v>9</v>
      </c>
      <c r="B18" s="34" t="n">
        <v>9</v>
      </c>
      <c r="C18" s="25" t="inlineStr"/>
      <c r="D18" s="25" t="inlineStr"/>
      <c r="E18" s="19" t="inlineStr"/>
      <c r="F18" s="19" t="inlineStr"/>
      <c r="G18" s="25" t="inlineStr"/>
      <c r="I18" s="38" t="inlineStr">
        <is>
          <t>Port Qasim  →  Islamabad Dry Port</t>
        </is>
      </c>
    </row>
    <row r="19">
      <c r="A19" s="9" t="n">
        <v>10</v>
      </c>
      <c r="B19" s="34" t="n">
        <v>10</v>
      </c>
      <c r="C19" s="25" t="inlineStr"/>
      <c r="D19" s="25" t="inlineStr"/>
      <c r="E19" s="19" t="inlineStr"/>
      <c r="F19" s="19" t="inlineStr"/>
      <c r="G19" s="25" t="inlineStr"/>
      <c r="I19" s="38" t="inlineStr">
        <is>
          <t>Karachi Port  →  Hyderabad</t>
        </is>
      </c>
    </row>
    <row r="20">
      <c r="A20" s="9" t="n">
        <v>11</v>
      </c>
      <c r="B20" s="34" t="n">
        <v>11</v>
      </c>
      <c r="C20" s="25" t="inlineStr"/>
      <c r="D20" s="25" t="inlineStr"/>
      <c r="E20" s="19" t="inlineStr"/>
      <c r="F20" s="19" t="inlineStr"/>
      <c r="G20" s="25" t="inlineStr"/>
      <c r="I20" s="38" t="inlineStr">
        <is>
          <t>Karachi Cantt  →  Lahore</t>
        </is>
      </c>
    </row>
    <row r="21">
      <c r="A21" s="9" t="n">
        <v>12</v>
      </c>
      <c r="B21" s="34" t="n">
        <v>12</v>
      </c>
      <c r="C21" s="25" t="inlineStr"/>
      <c r="D21" s="25" t="inlineStr"/>
      <c r="E21" s="19" t="inlineStr"/>
      <c r="F21" s="19" t="inlineStr"/>
      <c r="G21" s="25" t="inlineStr"/>
      <c r="I21" s="38" t="inlineStr">
        <is>
          <t>Karachi Cantt  →  Rawalpindi</t>
        </is>
      </c>
    </row>
    <row r="22">
      <c r="A22" s="9" t="n">
        <v>13</v>
      </c>
      <c r="B22" s="34" t="n">
        <v>13</v>
      </c>
      <c r="C22" s="25" t="inlineStr"/>
      <c r="D22" s="25" t="inlineStr"/>
      <c r="E22" s="19" t="inlineStr"/>
      <c r="F22" s="19" t="inlineStr"/>
      <c r="G22" s="25" t="inlineStr"/>
      <c r="I22" s="38" t="inlineStr">
        <is>
          <t>Pipri Marshalling Yard  →  Faisalabad</t>
        </is>
      </c>
    </row>
    <row r="23">
      <c r="A23" s="9" t="n">
        <v>14</v>
      </c>
      <c r="B23" s="34" t="n">
        <v>14</v>
      </c>
      <c r="C23" s="25" t="inlineStr"/>
      <c r="D23" s="25" t="inlineStr"/>
      <c r="E23" s="19" t="inlineStr"/>
      <c r="F23" s="19" t="inlineStr"/>
      <c r="G23" s="25" t="inlineStr"/>
      <c r="I23" s="38" t="inlineStr">
        <is>
          <t>Karachi Cantt  →  Multan</t>
        </is>
      </c>
    </row>
    <row r="24">
      <c r="A24" s="9" t="n">
        <v>15</v>
      </c>
      <c r="B24" s="34" t="n">
        <v>15</v>
      </c>
      <c r="C24" s="25" t="inlineStr"/>
      <c r="D24" s="25" t="inlineStr"/>
      <c r="E24" s="19" t="inlineStr"/>
      <c r="F24" s="19" t="inlineStr"/>
      <c r="G24" s="25" t="inlineStr"/>
      <c r="I24" s="38" t="inlineStr">
        <is>
          <t>Pipri Marshalling Yard  →  Lahore</t>
        </is>
      </c>
    </row>
    <row r="25">
      <c r="A25" s="9" t="n">
        <v>16</v>
      </c>
      <c r="B25" s="34" t="n">
        <v>16</v>
      </c>
      <c r="C25" s="25" t="inlineStr"/>
      <c r="D25" s="25" t="inlineStr"/>
      <c r="E25" s="19" t="inlineStr"/>
      <c r="F25" s="19" t="inlineStr"/>
      <c r="G25" s="25" t="inlineStr"/>
      <c r="I25" s="38" t="inlineStr">
        <is>
          <t>Karachi Cantt  →  Peshawar Cantt</t>
        </is>
      </c>
    </row>
    <row r="26">
      <c r="A26" s="9" t="n">
        <v>17</v>
      </c>
      <c r="B26" s="34" t="n">
        <v>17</v>
      </c>
      <c r="C26" s="25" t="inlineStr"/>
      <c r="D26" s="25" t="inlineStr"/>
      <c r="E26" s="19" t="inlineStr"/>
      <c r="F26" s="19" t="inlineStr"/>
      <c r="G26" s="25" t="inlineStr"/>
      <c r="I26" s="38" t="inlineStr">
        <is>
          <t>Pipri Marshalling Yard  →  Rawalpindi</t>
        </is>
      </c>
    </row>
    <row r="27">
      <c r="A27" s="9" t="n">
        <v>18</v>
      </c>
      <c r="B27" s="34" t="n">
        <v>18</v>
      </c>
      <c r="C27" s="25" t="inlineStr"/>
      <c r="D27" s="25" t="inlineStr"/>
      <c r="E27" s="19" t="inlineStr"/>
      <c r="F27" s="19" t="inlineStr"/>
      <c r="G27" s="25" t="inlineStr"/>
      <c r="I27" s="38" t="inlineStr">
        <is>
          <t>Karachi Cantt  →  Sukkur</t>
        </is>
      </c>
    </row>
    <row r="28">
      <c r="A28" s="9" t="n">
        <v>19</v>
      </c>
      <c r="B28" s="34" t="n">
        <v>19</v>
      </c>
      <c r="C28" s="25" t="inlineStr"/>
      <c r="D28" s="25" t="inlineStr"/>
      <c r="E28" s="19" t="inlineStr"/>
      <c r="F28" s="19" t="inlineStr"/>
      <c r="G28" s="25" t="inlineStr"/>
      <c r="I28" s="38" t="inlineStr">
        <is>
          <t>Pipri Marshalling Yard  →  Multan</t>
        </is>
      </c>
    </row>
    <row r="29">
      <c r="A29" s="9" t="n">
        <v>20</v>
      </c>
      <c r="B29" s="34" t="n">
        <v>20</v>
      </c>
      <c r="C29" s="25" t="inlineStr"/>
      <c r="D29" s="25" t="inlineStr"/>
      <c r="E29" s="19" t="inlineStr"/>
      <c r="F29" s="19" t="inlineStr"/>
      <c r="G29" s="25" t="inlineStr"/>
      <c r="I29" s="38" t="inlineStr">
        <is>
          <t>Lahore  →  Islamabad</t>
        </is>
      </c>
    </row>
    <row r="30">
      <c r="A30" s="9" t="inlineStr"/>
      <c r="B30" s="34" t="n">
        <v>-1</v>
      </c>
      <c r="C30" s="25" t="inlineStr"/>
      <c r="D30" s="25" t="inlineStr"/>
      <c r="E30" s="19" t="inlineStr"/>
      <c r="F30" s="19" t="inlineStr"/>
      <c r="G30" s="25" t="inlineStr"/>
      <c r="I30" s="38" t="inlineStr">
        <is>
          <t>Karachi  →  Hyderabad</t>
        </is>
      </c>
    </row>
    <row r="31">
      <c r="I31" s="38" t="inlineStr">
        <is>
          <t>Lahore  →  Faisalabad</t>
        </is>
      </c>
    </row>
    <row r="32">
      <c r="I32" s="38" t="inlineStr">
        <is>
          <t>Multan  →  Lahore</t>
        </is>
      </c>
    </row>
    <row r="33">
      <c r="I33" s="38" t="inlineStr">
        <is>
          <t>Islamabad  →  Peshawar</t>
        </is>
      </c>
    </row>
    <row r="34">
      <c r="I34" s="38" t="inlineStr">
        <is>
          <t>Karachi  →  Sukkur</t>
        </is>
      </c>
    </row>
    <row r="35">
      <c r="I35" s="38" t="inlineStr">
        <is>
          <t>Lahore  →  Sialkot</t>
        </is>
      </c>
    </row>
    <row r="36">
      <c r="I36" s="38" t="inlineStr">
        <is>
          <t>Quetta  →  Karachi</t>
        </is>
      </c>
    </row>
    <row r="37">
      <c r="I37" s="38" t="inlineStr">
        <is>
          <t>Faisalabad  →  Multan</t>
        </is>
      </c>
    </row>
    <row r="38">
      <c r="I38" s="38" t="inlineStr">
        <is>
          <t>Lahore  →  Gujranwala</t>
        </is>
      </c>
    </row>
    <row r="39">
      <c r="I39" s="38" t="inlineStr">
        <is>
          <t>Rawalpindi  →  Abbottabad</t>
        </is>
      </c>
    </row>
    <row r="40">
      <c r="I40" s="39" t="inlineStr">
        <is>
          <t>30 raw pairs  →  20 conformed routes</t>
        </is>
      </c>
    </row>
    <row r="41">
      <c r="B41" s="8" t="inlineStr">
        <is>
          <t>Check · distinct RouteName values</t>
        </is>
      </c>
      <c r="C41" s="40" t="n"/>
      <c r="D41" s="41" t="n"/>
      <c r="E41" s="36">
        <f>SUMPRODUCT((E10:E30&lt;&gt;"")/COUNTIF(E10:E30,E10:E30&amp;""))</f>
        <v/>
      </c>
      <c r="F41" s="12" t="n">
        <v>21</v>
      </c>
      <c r="G41" s="9">
        <f>IF(E41=F41,"✔ pass","✘ fix")</f>
        <v/>
      </c>
      <c r="I41" s="10" t="inlineStr">
        <is>
          <t>20 real routes + 1 Unknown row = 21 distinct names.</t>
        </is>
      </c>
    </row>
    <row r="43" ht="22" customHeight="1">
      <c r="A43" s="3" t="inlineStr">
        <is>
          <t>BLOCK B  ·  DIMMODE AND DIMSTATUS  —  TYPED BY HAND. THIS IS REFERENCE DATA, NOT SOURCE DATA.</t>
        </is>
      </c>
    </row>
    <row r="44" ht="30" customHeight="1">
      <c r="A44" s="6" t="inlineStr"/>
      <c r="B44" s="6" t="inlineStr">
        <is>
          <t>ModeKey</t>
        </is>
      </c>
      <c r="C44" s="6" t="inlineStr">
        <is>
          <t>ModeName</t>
        </is>
      </c>
      <c r="D44" s="6" t="inlineStr">
        <is>
          <t>Carrier</t>
        </is>
      </c>
      <c r="E44" s="6" t="inlineStr">
        <is>
          <t>TonnageClass</t>
        </is>
      </c>
      <c r="F44" s="6" t="inlineStr">
        <is>
          <t>CostProfile</t>
        </is>
      </c>
      <c r="G44" s="6" t="inlineStr">
        <is>
          <t>Containerised?</t>
        </is>
      </c>
      <c r="K44" s="6" t="inlineStr">
        <is>
          <t>StatusKey</t>
        </is>
      </c>
      <c r="L44" s="6" t="inlineStr">
        <is>
          <t>StatusName</t>
        </is>
      </c>
      <c r="M44" s="6" t="inlineStr">
        <is>
          <t>IsClosed</t>
        </is>
      </c>
      <c r="N44" s="6" t="inlineStr">
        <is>
          <t>IsException</t>
        </is>
      </c>
      <c r="O44" s="6" t="inlineStr">
        <is>
          <t>DisplayOrder</t>
        </is>
      </c>
    </row>
    <row r="45" ht="24" customHeight="1">
      <c r="B45" s="34" t="n">
        <v>1</v>
      </c>
      <c r="C45" s="19" t="inlineStr"/>
      <c r="D45" s="19" t="inlineStr"/>
      <c r="E45" s="19" t="inlineStr"/>
      <c r="F45" s="19" t="inlineStr"/>
      <c r="G45" s="19" t="inlineStr"/>
      <c r="K45" s="34" t="n">
        <v>1</v>
      </c>
      <c r="L45" s="25" t="inlineStr"/>
      <c r="M45" s="25" t="inlineStr"/>
      <c r="N45" s="25" t="inlineStr"/>
      <c r="O45" s="25" t="inlineStr"/>
    </row>
    <row r="46" ht="24" customHeight="1">
      <c r="B46" s="34" t="n">
        <v>2</v>
      </c>
      <c r="C46" s="19" t="inlineStr"/>
      <c r="D46" s="19" t="inlineStr"/>
      <c r="E46" s="19" t="inlineStr"/>
      <c r="F46" s="19" t="inlineStr"/>
      <c r="G46" s="19" t="inlineStr"/>
      <c r="K46" s="34" t="n">
        <v>2</v>
      </c>
      <c r="L46" s="25" t="inlineStr"/>
      <c r="M46" s="25" t="inlineStr"/>
      <c r="N46" s="25" t="inlineStr"/>
      <c r="O46" s="25" t="inlineStr"/>
    </row>
    <row r="47" ht="24" customHeight="1">
      <c r="B47" s="34" t="n">
        <v>3</v>
      </c>
      <c r="C47" s="19" t="inlineStr"/>
      <c r="D47" s="19" t="inlineStr"/>
      <c r="E47" s="19" t="inlineStr"/>
      <c r="F47" s="19" t="inlineStr"/>
      <c r="G47" s="19" t="inlineStr"/>
      <c r="K47" s="34" t="n">
        <v>3</v>
      </c>
      <c r="L47" s="25" t="inlineStr"/>
      <c r="M47" s="25" t="inlineStr"/>
      <c r="N47" s="25" t="inlineStr"/>
      <c r="O47" s="25" t="inlineStr"/>
    </row>
    <row r="48" ht="24" customHeight="1">
      <c r="B48" s="34" t="n">
        <v>-1</v>
      </c>
      <c r="C48" s="19" t="inlineStr"/>
      <c r="D48" s="19" t="inlineStr"/>
      <c r="E48" s="19" t="inlineStr"/>
      <c r="F48" s="19" t="inlineStr"/>
      <c r="G48" s="19" t="inlineStr"/>
      <c r="K48" s="34" t="n">
        <v>-1</v>
      </c>
      <c r="L48" s="25" t="inlineStr"/>
      <c r="M48" s="25" t="inlineStr"/>
      <c r="N48" s="25" t="inlineStr"/>
      <c r="O48" s="25" t="inlineStr"/>
    </row>
    <row r="49" ht="30" customHeight="1">
      <c r="B49" s="28" t="inlineStr">
        <is>
          <t>Both tables carry a row with key -1 called Unknown. It is not decoration: in T6 every lookup is a LEFT join, and a row whose mode nobody recognises must land somewhere visible rather than disappear. A fact row pointing at Unknown is a bug you can count; a fact row silently dropped is a bug you discover in a board meeting.</t>
        </is>
      </c>
    </row>
    <row r="51" ht="22" customHeight="1">
      <c r="A51" s="3" t="inlineStr">
        <is>
          <t>BLOCK C  ·  DIMDATE  —  28 ROWS FOR FEBRUARY 2026, INCLUDING THE QUIET DAYS</t>
        </is>
      </c>
    </row>
    <row r="52" ht="30" customHeight="1">
      <c r="A52" s="6" t="inlineStr"/>
      <c r="B52" s="6" t="inlineStr">
        <is>
          <t>DateKey</t>
        </is>
      </c>
      <c r="C52" s="6" t="inlineStr">
        <is>
          <t>FullDate</t>
        </is>
      </c>
      <c r="D52" s="6" t="inlineStr">
        <is>
          <t>Year</t>
        </is>
      </c>
      <c r="E52" s="6" t="inlineStr">
        <is>
          <t>Quarter</t>
        </is>
      </c>
      <c r="F52" s="6" t="inlineStr">
        <is>
          <t>MonthNumber</t>
        </is>
      </c>
      <c r="G52" s="6" t="inlineStr">
        <is>
          <t>MonthName</t>
        </is>
      </c>
      <c r="H52" s="6" t="inlineStr"/>
      <c r="I52" s="6" t="inlineStr">
        <is>
          <t>DayOfMonth</t>
        </is>
      </c>
      <c r="J52" s="6" t="inlineStr"/>
      <c r="K52" s="6" t="inlineStr">
        <is>
          <t>DayNumber</t>
        </is>
      </c>
      <c r="L52" s="6" t="inlineStr">
        <is>
          <t>DayName</t>
        </is>
      </c>
      <c r="M52" s="6" t="inlineStr">
        <is>
          <t>IsWeekend</t>
        </is>
      </c>
      <c r="N52" s="6" t="inlineStr">
        <is>
          <t>IsHoliday</t>
        </is>
      </c>
      <c r="O52" s="6" t="inlineStr">
        <is>
          <t>Shipments that day</t>
        </is>
      </c>
      <c r="P52" s="6" t="inlineStr">
        <is>
          <t>In fact table?</t>
        </is>
      </c>
    </row>
    <row r="53">
      <c r="B53" s="25">
        <f>YEAR(C53)*10000+MONTH(C53)*100+DAY(C53)</f>
        <v/>
      </c>
      <c r="C53" s="42" t="n">
        <v>46054</v>
      </c>
      <c r="D53" s="25" t="inlineStr"/>
      <c r="E53" s="25" t="inlineStr"/>
      <c r="F53" s="25" t="inlineStr"/>
      <c r="G53" s="25" t="inlineStr"/>
      <c r="I53" s="25" t="inlineStr"/>
      <c r="K53" s="25" t="inlineStr"/>
      <c r="L53" s="25" t="inlineStr"/>
      <c r="M53" s="25" t="inlineStr"/>
      <c r="N53" s="25" t="inlineStr"/>
      <c r="O53" s="36">
        <f>COUNTIF(Shipments_Unified!$B$5:$B$38,C53)</f>
        <v/>
      </c>
      <c r="P53" s="36">
        <f>IF(O53&gt;0,"yes","— quiet day")</f>
        <v/>
      </c>
    </row>
    <row r="54">
      <c r="B54" s="25">
        <f>YEAR(C54)*10000+MONTH(C54)*100+DAY(C54)</f>
        <v/>
      </c>
      <c r="C54" s="42" t="n">
        <v>46055</v>
      </c>
      <c r="D54" s="25" t="inlineStr"/>
      <c r="E54" s="25" t="inlineStr"/>
      <c r="F54" s="25" t="inlineStr"/>
      <c r="G54" s="25" t="inlineStr"/>
      <c r="I54" s="25" t="inlineStr"/>
      <c r="K54" s="25" t="inlineStr"/>
      <c r="L54" s="25" t="inlineStr"/>
      <c r="M54" s="25" t="inlineStr"/>
      <c r="N54" s="25" t="inlineStr"/>
      <c r="O54" s="36">
        <f>COUNTIF(Shipments_Unified!$B$5:$B$38,C54)</f>
        <v/>
      </c>
      <c r="P54" s="36">
        <f>IF(O54&gt;0,"yes","— quiet day")</f>
        <v/>
      </c>
    </row>
    <row r="55">
      <c r="B55" s="25">
        <f>YEAR(C55)*10000+MONTH(C55)*100+DAY(C55)</f>
        <v/>
      </c>
      <c r="C55" s="42" t="n">
        <v>46056</v>
      </c>
      <c r="D55" s="25" t="inlineStr"/>
      <c r="E55" s="25" t="inlineStr"/>
      <c r="F55" s="25" t="inlineStr"/>
      <c r="G55" s="25" t="inlineStr"/>
      <c r="I55" s="25" t="inlineStr"/>
      <c r="K55" s="25" t="inlineStr"/>
      <c r="L55" s="25" t="inlineStr"/>
      <c r="M55" s="25" t="inlineStr"/>
      <c r="N55" s="25" t="inlineStr"/>
      <c r="O55" s="36">
        <f>COUNTIF(Shipments_Unified!$B$5:$B$38,C55)</f>
        <v/>
      </c>
      <c r="P55" s="36">
        <f>IF(O55&gt;0,"yes","— quiet day")</f>
        <v/>
      </c>
    </row>
    <row r="56">
      <c r="B56" s="25">
        <f>YEAR(C56)*10000+MONTH(C56)*100+DAY(C56)</f>
        <v/>
      </c>
      <c r="C56" s="42" t="n">
        <v>46057</v>
      </c>
      <c r="D56" s="25" t="inlineStr"/>
      <c r="E56" s="25" t="inlineStr"/>
      <c r="F56" s="25" t="inlineStr"/>
      <c r="G56" s="25" t="inlineStr"/>
      <c r="I56" s="25" t="inlineStr"/>
      <c r="K56" s="25" t="inlineStr"/>
      <c r="L56" s="25" t="inlineStr"/>
      <c r="M56" s="25" t="inlineStr"/>
      <c r="N56" s="25" t="inlineStr"/>
      <c r="O56" s="36">
        <f>COUNTIF(Shipments_Unified!$B$5:$B$38,C56)</f>
        <v/>
      </c>
      <c r="P56" s="36">
        <f>IF(O56&gt;0,"yes","— quiet day")</f>
        <v/>
      </c>
    </row>
    <row r="57">
      <c r="B57" s="25">
        <f>YEAR(C57)*10000+MONTH(C57)*100+DAY(C57)</f>
        <v/>
      </c>
      <c r="C57" s="42" t="n">
        <v>46058</v>
      </c>
      <c r="D57" s="25" t="inlineStr"/>
      <c r="E57" s="25" t="inlineStr"/>
      <c r="F57" s="25" t="inlineStr"/>
      <c r="G57" s="25" t="inlineStr"/>
      <c r="I57" s="25" t="inlineStr"/>
      <c r="K57" s="25" t="inlineStr"/>
      <c r="L57" s="25" t="inlineStr"/>
      <c r="M57" s="25" t="inlineStr"/>
      <c r="N57" s="25" t="inlineStr"/>
      <c r="O57" s="36">
        <f>COUNTIF(Shipments_Unified!$B$5:$B$38,C57)</f>
        <v/>
      </c>
      <c r="P57" s="36">
        <f>IF(O57&gt;0,"yes","— quiet day")</f>
        <v/>
      </c>
    </row>
    <row r="58">
      <c r="B58" s="25">
        <f>YEAR(C58)*10000+MONTH(C58)*100+DAY(C58)</f>
        <v/>
      </c>
      <c r="C58" s="42" t="n">
        <v>46059</v>
      </c>
      <c r="D58" s="25" t="inlineStr"/>
      <c r="E58" s="25" t="inlineStr"/>
      <c r="F58" s="25" t="inlineStr"/>
      <c r="G58" s="25" t="inlineStr"/>
      <c r="I58" s="25" t="inlineStr"/>
      <c r="K58" s="25" t="inlineStr"/>
      <c r="L58" s="25" t="inlineStr"/>
      <c r="M58" s="25" t="inlineStr"/>
      <c r="N58" s="25" t="inlineStr"/>
      <c r="O58" s="36">
        <f>COUNTIF(Shipments_Unified!$B$5:$B$38,C58)</f>
        <v/>
      </c>
      <c r="P58" s="36">
        <f>IF(O58&gt;0,"yes","— quiet day")</f>
        <v/>
      </c>
    </row>
    <row r="59">
      <c r="B59" s="25">
        <f>YEAR(C59)*10000+MONTH(C59)*100+DAY(C59)</f>
        <v/>
      </c>
      <c r="C59" s="42" t="n">
        <v>46060</v>
      </c>
      <c r="D59" s="25" t="inlineStr"/>
      <c r="E59" s="25" t="inlineStr"/>
      <c r="F59" s="25" t="inlineStr"/>
      <c r="G59" s="25" t="inlineStr"/>
      <c r="I59" s="25" t="inlineStr"/>
      <c r="K59" s="25" t="inlineStr"/>
      <c r="L59" s="25" t="inlineStr"/>
      <c r="M59" s="25" t="inlineStr"/>
      <c r="N59" s="25" t="inlineStr"/>
      <c r="O59" s="36">
        <f>COUNTIF(Shipments_Unified!$B$5:$B$38,C59)</f>
        <v/>
      </c>
      <c r="P59" s="36">
        <f>IF(O59&gt;0,"yes","— quiet day")</f>
        <v/>
      </c>
    </row>
    <row r="60">
      <c r="B60" s="25">
        <f>YEAR(C60)*10000+MONTH(C60)*100+DAY(C60)</f>
        <v/>
      </c>
      <c r="C60" s="42" t="n">
        <v>46061</v>
      </c>
      <c r="D60" s="25" t="inlineStr"/>
      <c r="E60" s="25" t="inlineStr"/>
      <c r="F60" s="25" t="inlineStr"/>
      <c r="G60" s="25" t="inlineStr"/>
      <c r="I60" s="25" t="inlineStr"/>
      <c r="K60" s="25" t="inlineStr"/>
      <c r="L60" s="25" t="inlineStr"/>
      <c r="M60" s="25" t="inlineStr"/>
      <c r="N60" s="25" t="inlineStr"/>
      <c r="O60" s="36">
        <f>COUNTIF(Shipments_Unified!$B$5:$B$38,C60)</f>
        <v/>
      </c>
      <c r="P60" s="36">
        <f>IF(O60&gt;0,"yes","— quiet day")</f>
        <v/>
      </c>
    </row>
    <row r="61">
      <c r="B61" s="25">
        <f>YEAR(C61)*10000+MONTH(C61)*100+DAY(C61)</f>
        <v/>
      </c>
      <c r="C61" s="42" t="n">
        <v>46062</v>
      </c>
      <c r="D61" s="25" t="inlineStr"/>
      <c r="E61" s="25" t="inlineStr"/>
      <c r="F61" s="25" t="inlineStr"/>
      <c r="G61" s="25" t="inlineStr"/>
      <c r="I61" s="25" t="inlineStr"/>
      <c r="K61" s="25" t="inlineStr"/>
      <c r="L61" s="25" t="inlineStr"/>
      <c r="M61" s="25" t="inlineStr"/>
      <c r="N61" s="25" t="inlineStr"/>
      <c r="O61" s="36">
        <f>COUNTIF(Shipments_Unified!$B$5:$B$38,C61)</f>
        <v/>
      </c>
      <c r="P61" s="36">
        <f>IF(O61&gt;0,"yes","— quiet day")</f>
        <v/>
      </c>
    </row>
    <row r="62">
      <c r="B62" s="25">
        <f>YEAR(C62)*10000+MONTH(C62)*100+DAY(C62)</f>
        <v/>
      </c>
      <c r="C62" s="42" t="n">
        <v>46063</v>
      </c>
      <c r="D62" s="25" t="inlineStr"/>
      <c r="E62" s="25" t="inlineStr"/>
      <c r="F62" s="25" t="inlineStr"/>
      <c r="G62" s="25" t="inlineStr"/>
      <c r="I62" s="25" t="inlineStr"/>
      <c r="K62" s="25" t="inlineStr"/>
      <c r="L62" s="25" t="inlineStr"/>
      <c r="M62" s="25" t="inlineStr"/>
      <c r="N62" s="25" t="inlineStr"/>
      <c r="O62" s="36">
        <f>COUNTIF(Shipments_Unified!$B$5:$B$38,C62)</f>
        <v/>
      </c>
      <c r="P62" s="36">
        <f>IF(O62&gt;0,"yes","— quiet day")</f>
        <v/>
      </c>
    </row>
    <row r="63">
      <c r="B63" s="25">
        <f>YEAR(C63)*10000+MONTH(C63)*100+DAY(C63)</f>
        <v/>
      </c>
      <c r="C63" s="42" t="n">
        <v>46064</v>
      </c>
      <c r="D63" s="25" t="inlineStr"/>
      <c r="E63" s="25" t="inlineStr"/>
      <c r="F63" s="25" t="inlineStr"/>
      <c r="G63" s="25" t="inlineStr"/>
      <c r="I63" s="25" t="inlineStr"/>
      <c r="K63" s="25" t="inlineStr"/>
      <c r="L63" s="25" t="inlineStr"/>
      <c r="M63" s="25" t="inlineStr"/>
      <c r="N63" s="25" t="inlineStr"/>
      <c r="O63" s="36">
        <f>COUNTIF(Shipments_Unified!$B$5:$B$38,C63)</f>
        <v/>
      </c>
      <c r="P63" s="36">
        <f>IF(O63&gt;0,"yes","— quiet day")</f>
        <v/>
      </c>
    </row>
    <row r="64">
      <c r="B64" s="25">
        <f>YEAR(C64)*10000+MONTH(C64)*100+DAY(C64)</f>
        <v/>
      </c>
      <c r="C64" s="42" t="n">
        <v>46065</v>
      </c>
      <c r="D64" s="25" t="inlineStr"/>
      <c r="E64" s="25" t="inlineStr"/>
      <c r="F64" s="25" t="inlineStr"/>
      <c r="G64" s="25" t="inlineStr"/>
      <c r="I64" s="25" t="inlineStr"/>
      <c r="K64" s="25" t="inlineStr"/>
      <c r="L64" s="25" t="inlineStr"/>
      <c r="M64" s="25" t="inlineStr"/>
      <c r="N64" s="25" t="inlineStr"/>
      <c r="O64" s="36">
        <f>COUNTIF(Shipments_Unified!$B$5:$B$38,C64)</f>
        <v/>
      </c>
      <c r="P64" s="36">
        <f>IF(O64&gt;0,"yes","— quiet day")</f>
        <v/>
      </c>
    </row>
    <row r="65">
      <c r="B65" s="25">
        <f>YEAR(C65)*10000+MONTH(C65)*100+DAY(C65)</f>
        <v/>
      </c>
      <c r="C65" s="42" t="n">
        <v>46066</v>
      </c>
      <c r="D65" s="25" t="inlineStr"/>
      <c r="E65" s="25" t="inlineStr"/>
      <c r="F65" s="25" t="inlineStr"/>
      <c r="G65" s="25" t="inlineStr"/>
      <c r="I65" s="25" t="inlineStr"/>
      <c r="K65" s="25" t="inlineStr"/>
      <c r="L65" s="25" t="inlineStr"/>
      <c r="M65" s="25" t="inlineStr"/>
      <c r="N65" s="25" t="inlineStr"/>
      <c r="O65" s="36">
        <f>COUNTIF(Shipments_Unified!$B$5:$B$38,C65)</f>
        <v/>
      </c>
      <c r="P65" s="36">
        <f>IF(O65&gt;0,"yes","— quiet day")</f>
        <v/>
      </c>
    </row>
    <row r="66">
      <c r="B66" s="25">
        <f>YEAR(C66)*10000+MONTH(C66)*100+DAY(C66)</f>
        <v/>
      </c>
      <c r="C66" s="42" t="n">
        <v>46067</v>
      </c>
      <c r="D66" s="25" t="inlineStr"/>
      <c r="E66" s="25" t="inlineStr"/>
      <c r="F66" s="25" t="inlineStr"/>
      <c r="G66" s="25" t="inlineStr"/>
      <c r="I66" s="25" t="inlineStr"/>
      <c r="K66" s="25" t="inlineStr"/>
      <c r="L66" s="25" t="inlineStr"/>
      <c r="M66" s="25" t="inlineStr"/>
      <c r="N66" s="25" t="inlineStr"/>
      <c r="O66" s="36">
        <f>COUNTIF(Shipments_Unified!$B$5:$B$38,C66)</f>
        <v/>
      </c>
      <c r="P66" s="36">
        <f>IF(O66&gt;0,"yes","— quiet day")</f>
        <v/>
      </c>
    </row>
    <row r="67">
      <c r="B67" s="25">
        <f>YEAR(C67)*10000+MONTH(C67)*100+DAY(C67)</f>
        <v/>
      </c>
      <c r="C67" s="42" t="n">
        <v>46068</v>
      </c>
      <c r="D67" s="25" t="inlineStr"/>
      <c r="E67" s="25" t="inlineStr"/>
      <c r="F67" s="25" t="inlineStr"/>
      <c r="G67" s="25" t="inlineStr"/>
      <c r="I67" s="25" t="inlineStr"/>
      <c r="K67" s="25" t="inlineStr"/>
      <c r="L67" s="25" t="inlineStr"/>
      <c r="M67" s="25" t="inlineStr"/>
      <c r="N67" s="25" t="inlineStr"/>
      <c r="O67" s="36">
        <f>COUNTIF(Shipments_Unified!$B$5:$B$38,C67)</f>
        <v/>
      </c>
      <c r="P67" s="36">
        <f>IF(O67&gt;0,"yes","— quiet day")</f>
        <v/>
      </c>
    </row>
    <row r="68">
      <c r="B68" s="25">
        <f>YEAR(C68)*10000+MONTH(C68)*100+DAY(C68)</f>
        <v/>
      </c>
      <c r="C68" s="42" t="n">
        <v>46069</v>
      </c>
      <c r="D68" s="25" t="inlineStr"/>
      <c r="E68" s="25" t="inlineStr"/>
      <c r="F68" s="25" t="inlineStr"/>
      <c r="G68" s="25" t="inlineStr"/>
      <c r="I68" s="25" t="inlineStr"/>
      <c r="K68" s="25" t="inlineStr"/>
      <c r="L68" s="25" t="inlineStr"/>
      <c r="M68" s="25" t="inlineStr"/>
      <c r="N68" s="25" t="inlineStr"/>
      <c r="O68" s="36">
        <f>COUNTIF(Shipments_Unified!$B$5:$B$38,C68)</f>
        <v/>
      </c>
      <c r="P68" s="36">
        <f>IF(O68&gt;0,"yes","— quiet day")</f>
        <v/>
      </c>
    </row>
    <row r="69">
      <c r="B69" s="25">
        <f>YEAR(C69)*10000+MONTH(C69)*100+DAY(C69)</f>
        <v/>
      </c>
      <c r="C69" s="42" t="n">
        <v>46070</v>
      </c>
      <c r="D69" s="25" t="inlineStr"/>
      <c r="E69" s="25" t="inlineStr"/>
      <c r="F69" s="25" t="inlineStr"/>
      <c r="G69" s="25" t="inlineStr"/>
      <c r="I69" s="25" t="inlineStr"/>
      <c r="K69" s="25" t="inlineStr"/>
      <c r="L69" s="25" t="inlineStr"/>
      <c r="M69" s="25" t="inlineStr"/>
      <c r="N69" s="25" t="inlineStr"/>
      <c r="O69" s="36">
        <f>COUNTIF(Shipments_Unified!$B$5:$B$38,C69)</f>
        <v/>
      </c>
      <c r="P69" s="36">
        <f>IF(O69&gt;0,"yes","— quiet day")</f>
        <v/>
      </c>
    </row>
    <row r="70">
      <c r="B70" s="25">
        <f>YEAR(C70)*10000+MONTH(C70)*100+DAY(C70)</f>
        <v/>
      </c>
      <c r="C70" s="42" t="n">
        <v>46071</v>
      </c>
      <c r="D70" s="25" t="inlineStr"/>
      <c r="E70" s="25" t="inlineStr"/>
      <c r="F70" s="25" t="inlineStr"/>
      <c r="G70" s="25" t="inlineStr"/>
      <c r="I70" s="25" t="inlineStr"/>
      <c r="K70" s="25" t="inlineStr"/>
      <c r="L70" s="25" t="inlineStr"/>
      <c r="M70" s="25" t="inlineStr"/>
      <c r="N70" s="25" t="inlineStr"/>
      <c r="O70" s="36">
        <f>COUNTIF(Shipments_Unified!$B$5:$B$38,C70)</f>
        <v/>
      </c>
      <c r="P70" s="36">
        <f>IF(O70&gt;0,"yes","— quiet day")</f>
        <v/>
      </c>
    </row>
    <row r="71">
      <c r="B71" s="25">
        <f>YEAR(C71)*10000+MONTH(C71)*100+DAY(C71)</f>
        <v/>
      </c>
      <c r="C71" s="42" t="n">
        <v>46072</v>
      </c>
      <c r="D71" s="25" t="inlineStr"/>
      <c r="E71" s="25" t="inlineStr"/>
      <c r="F71" s="25" t="inlineStr"/>
      <c r="G71" s="25" t="inlineStr"/>
      <c r="I71" s="25" t="inlineStr"/>
      <c r="K71" s="25" t="inlineStr"/>
      <c r="L71" s="25" t="inlineStr"/>
      <c r="M71" s="25" t="inlineStr"/>
      <c r="N71" s="25" t="inlineStr"/>
      <c r="O71" s="36">
        <f>COUNTIF(Shipments_Unified!$B$5:$B$38,C71)</f>
        <v/>
      </c>
      <c r="P71" s="36">
        <f>IF(O71&gt;0,"yes","— quiet day")</f>
        <v/>
      </c>
    </row>
    <row r="72">
      <c r="B72" s="25">
        <f>YEAR(C72)*10000+MONTH(C72)*100+DAY(C72)</f>
        <v/>
      </c>
      <c r="C72" s="42" t="n">
        <v>46073</v>
      </c>
      <c r="D72" s="25" t="inlineStr"/>
      <c r="E72" s="25" t="inlineStr"/>
      <c r="F72" s="25" t="inlineStr"/>
      <c r="G72" s="25" t="inlineStr"/>
      <c r="I72" s="25" t="inlineStr"/>
      <c r="K72" s="25" t="inlineStr"/>
      <c r="L72" s="25" t="inlineStr"/>
      <c r="M72" s="25" t="inlineStr"/>
      <c r="N72" s="25" t="inlineStr"/>
      <c r="O72" s="36">
        <f>COUNTIF(Shipments_Unified!$B$5:$B$38,C72)</f>
        <v/>
      </c>
      <c r="P72" s="36">
        <f>IF(O72&gt;0,"yes","— quiet day")</f>
        <v/>
      </c>
    </row>
    <row r="73">
      <c r="B73" s="25">
        <f>YEAR(C73)*10000+MONTH(C73)*100+DAY(C73)</f>
        <v/>
      </c>
      <c r="C73" s="42" t="n">
        <v>46074</v>
      </c>
      <c r="D73" s="25" t="inlineStr"/>
      <c r="E73" s="25" t="inlineStr"/>
      <c r="F73" s="25" t="inlineStr"/>
      <c r="G73" s="25" t="inlineStr"/>
      <c r="I73" s="25" t="inlineStr"/>
      <c r="K73" s="25" t="inlineStr"/>
      <c r="L73" s="25" t="inlineStr"/>
      <c r="M73" s="25" t="inlineStr"/>
      <c r="N73" s="25" t="inlineStr"/>
      <c r="O73" s="36">
        <f>COUNTIF(Shipments_Unified!$B$5:$B$38,C73)</f>
        <v/>
      </c>
      <c r="P73" s="36">
        <f>IF(O73&gt;0,"yes","— quiet day")</f>
        <v/>
      </c>
    </row>
    <row r="74">
      <c r="B74" s="25">
        <f>YEAR(C74)*10000+MONTH(C74)*100+DAY(C74)</f>
        <v/>
      </c>
      <c r="C74" s="42" t="n">
        <v>46075</v>
      </c>
      <c r="D74" s="25" t="inlineStr"/>
      <c r="E74" s="25" t="inlineStr"/>
      <c r="F74" s="25" t="inlineStr"/>
      <c r="G74" s="25" t="inlineStr"/>
      <c r="I74" s="25" t="inlineStr"/>
      <c r="K74" s="25" t="inlineStr"/>
      <c r="L74" s="25" t="inlineStr"/>
      <c r="M74" s="25" t="inlineStr"/>
      <c r="N74" s="25" t="inlineStr"/>
      <c r="O74" s="36">
        <f>COUNTIF(Shipments_Unified!$B$5:$B$38,C74)</f>
        <v/>
      </c>
      <c r="P74" s="36">
        <f>IF(O74&gt;0,"yes","— quiet day")</f>
        <v/>
      </c>
    </row>
    <row r="75">
      <c r="B75" s="25">
        <f>YEAR(C75)*10000+MONTH(C75)*100+DAY(C75)</f>
        <v/>
      </c>
      <c r="C75" s="42" t="n">
        <v>46076</v>
      </c>
      <c r="D75" s="25" t="inlineStr"/>
      <c r="E75" s="25" t="inlineStr"/>
      <c r="F75" s="25" t="inlineStr"/>
      <c r="G75" s="25" t="inlineStr"/>
      <c r="I75" s="25" t="inlineStr"/>
      <c r="K75" s="25" t="inlineStr"/>
      <c r="L75" s="25" t="inlineStr"/>
      <c r="M75" s="25" t="inlineStr"/>
      <c r="N75" s="25" t="inlineStr"/>
      <c r="O75" s="36">
        <f>COUNTIF(Shipments_Unified!$B$5:$B$38,C75)</f>
        <v/>
      </c>
      <c r="P75" s="36">
        <f>IF(O75&gt;0,"yes","— quiet day")</f>
        <v/>
      </c>
    </row>
    <row r="76">
      <c r="B76" s="25">
        <f>YEAR(C76)*10000+MONTH(C76)*100+DAY(C76)</f>
        <v/>
      </c>
      <c r="C76" s="42" t="n">
        <v>46077</v>
      </c>
      <c r="D76" s="25" t="inlineStr"/>
      <c r="E76" s="25" t="inlineStr"/>
      <c r="F76" s="25" t="inlineStr"/>
      <c r="G76" s="25" t="inlineStr"/>
      <c r="I76" s="25" t="inlineStr"/>
      <c r="K76" s="25" t="inlineStr"/>
      <c r="L76" s="25" t="inlineStr"/>
      <c r="M76" s="25" t="inlineStr"/>
      <c r="N76" s="25" t="inlineStr"/>
      <c r="O76" s="36">
        <f>COUNTIF(Shipments_Unified!$B$5:$B$38,C76)</f>
        <v/>
      </c>
      <c r="P76" s="36">
        <f>IF(O76&gt;0,"yes","— quiet day")</f>
        <v/>
      </c>
    </row>
    <row r="77">
      <c r="B77" s="25">
        <f>YEAR(C77)*10000+MONTH(C77)*100+DAY(C77)</f>
        <v/>
      </c>
      <c r="C77" s="42" t="n">
        <v>46078</v>
      </c>
      <c r="D77" s="25" t="inlineStr"/>
      <c r="E77" s="25" t="inlineStr"/>
      <c r="F77" s="25" t="inlineStr"/>
      <c r="G77" s="25" t="inlineStr"/>
      <c r="I77" s="25" t="inlineStr"/>
      <c r="K77" s="25" t="inlineStr"/>
      <c r="L77" s="25" t="inlineStr"/>
      <c r="M77" s="25" t="inlineStr"/>
      <c r="N77" s="25" t="inlineStr"/>
      <c r="O77" s="36">
        <f>COUNTIF(Shipments_Unified!$B$5:$B$38,C77)</f>
        <v/>
      </c>
      <c r="P77" s="36">
        <f>IF(O77&gt;0,"yes","— quiet day")</f>
        <v/>
      </c>
    </row>
    <row r="78">
      <c r="B78" s="25">
        <f>YEAR(C78)*10000+MONTH(C78)*100+DAY(C78)</f>
        <v/>
      </c>
      <c r="C78" s="42" t="n">
        <v>46079</v>
      </c>
      <c r="D78" s="25" t="inlineStr"/>
      <c r="E78" s="25" t="inlineStr"/>
      <c r="F78" s="25" t="inlineStr"/>
      <c r="G78" s="25" t="inlineStr"/>
      <c r="I78" s="25" t="inlineStr"/>
      <c r="K78" s="25" t="inlineStr"/>
      <c r="L78" s="25" t="inlineStr"/>
      <c r="M78" s="25" t="inlineStr"/>
      <c r="N78" s="25" t="inlineStr"/>
      <c r="O78" s="36">
        <f>COUNTIF(Shipments_Unified!$B$5:$B$38,C78)</f>
        <v/>
      </c>
      <c r="P78" s="36">
        <f>IF(O78&gt;0,"yes","— quiet day")</f>
        <v/>
      </c>
    </row>
    <row r="79">
      <c r="B79" s="25">
        <f>YEAR(C79)*10000+MONTH(C79)*100+DAY(C79)</f>
        <v/>
      </c>
      <c r="C79" s="42" t="n">
        <v>46080</v>
      </c>
      <c r="D79" s="25" t="inlineStr"/>
      <c r="E79" s="25" t="inlineStr"/>
      <c r="F79" s="25" t="inlineStr"/>
      <c r="G79" s="25" t="inlineStr"/>
      <c r="I79" s="25" t="inlineStr"/>
      <c r="K79" s="25" t="inlineStr"/>
      <c r="L79" s="25" t="inlineStr"/>
      <c r="M79" s="25" t="inlineStr"/>
      <c r="N79" s="25" t="inlineStr"/>
      <c r="O79" s="36">
        <f>COUNTIF(Shipments_Unified!$B$5:$B$38,C79)</f>
        <v/>
      </c>
      <c r="P79" s="36">
        <f>IF(O79&gt;0,"yes","— quiet day")</f>
        <v/>
      </c>
    </row>
    <row r="80">
      <c r="B80" s="25">
        <f>YEAR(C80)*10000+MONTH(C80)*100+DAY(C80)</f>
        <v/>
      </c>
      <c r="C80" s="42" t="n">
        <v>46081</v>
      </c>
      <c r="D80" s="25" t="inlineStr"/>
      <c r="E80" s="25" t="inlineStr"/>
      <c r="F80" s="25" t="inlineStr"/>
      <c r="G80" s="25" t="inlineStr"/>
      <c r="I80" s="25" t="inlineStr"/>
      <c r="K80" s="25" t="inlineStr"/>
      <c r="L80" s="25" t="inlineStr"/>
      <c r="M80" s="25" t="inlineStr"/>
      <c r="N80" s="25" t="inlineStr"/>
      <c r="O80" s="36">
        <f>COUNTIF(Shipments_Unified!$B$5:$B$38,C80)</f>
        <v/>
      </c>
      <c r="P80" s="36">
        <f>IF(O80&gt;0,"yes","— quiet day")</f>
        <v/>
      </c>
    </row>
    <row r="81">
      <c r="C81" s="11" t="inlineStr">
        <is>
          <t>Rows in DimDate</t>
        </is>
      </c>
      <c r="D81" s="12">
        <f>COUNTA(C53:C80)</f>
        <v/>
      </c>
      <c r="F81" s="43" t="inlineStr">
        <is>
          <t>Days with at least one shipment</t>
        </is>
      </c>
      <c r="I81" s="12">
        <f>COUNTIF(O53:O80,"&gt;0")</f>
        <v/>
      </c>
      <c r="K81" s="43" t="inlineStr">
        <is>
          <t>Quiet days</t>
        </is>
      </c>
      <c r="L81" s="41" t="n"/>
      <c r="M81" s="12">
        <f>COUNTIF(O53:O80,0)</f>
        <v/>
      </c>
    </row>
    <row r="82" ht="26" customHeight="1">
      <c r="A82" s="24" t="inlineStr">
        <is>
          <t>Expected: 28 rows, 12 days with shipments, 16 quiet days. THE question this answers: 'what was our average daily tonnage in February?' is 578,650 / 12 = 48,221 kg if you count only the days that appear in the fact table, and 578,650 / 28 = 20,666 kg against the real calendar. Both are arithmetically correct. Only one of them answers the question the CFO asked.</t>
        </is>
      </c>
    </row>
    <row r="84" ht="22" customHeight="1">
      <c r="A84" s="3" t="inlineStr">
        <is>
          <t>ANSWER IN ONE LINE EACH</t>
        </is>
      </c>
    </row>
    <row r="85" ht="26" customHeight="1">
      <c r="B85" s="26" t="inlineStr">
        <is>
          <t>DimRoute holds two city keys. Does that make DimCity a snowflake? One sentence.</t>
        </is>
      </c>
      <c r="I85" s="19" t="inlineStr"/>
    </row>
    <row r="86" ht="26" customHeight="1"/>
    <row r="87" ht="26" customHeight="1">
      <c r="B87" s="26" t="inlineStr">
        <is>
          <t>Karachi → Lahore is served by both marine and rail. Should Mode be a column in DimRoute, or stay its own dimension? Why?</t>
        </is>
      </c>
      <c r="I87" s="19" t="inlineStr"/>
    </row>
    <row r="88" ht="26" customHeight="1"/>
    <row r="89" ht="26" customHeight="1">
      <c r="B89" s="26" t="inlineStr">
        <is>
          <t>PakFreight adds a Karachi → Lahore service routed via Sukkur. Same two cities, different path. New DimRoute row or not?</t>
        </is>
      </c>
      <c r="I89" s="19" t="inlineStr"/>
    </row>
    <row r="90" ht="26" customHeight="1"/>
    <row r="91" ht="26" customHeight="1">
      <c r="B91" s="26" t="inlineStr">
        <is>
          <t>Why does DimDate get 28 rows when the fact table only ever touches 12 of them?</t>
        </is>
      </c>
      <c r="I91" s="19" t="inlineStr"/>
    </row>
    <row r="92" ht="26" customHeight="1"/>
    <row r="94" ht="26" customHeight="1">
      <c r="A94" s="24" t="inlineStr">
        <is>
          <t>Marking, 20 marks: the conform-then-dedupe answer 3 · DimRoute 6 · DimMode and DimStatus with -1 rows 3 · DimDate 4 · the four questions 4.</t>
        </is>
      </c>
    </row>
  </sheetData>
  <mergeCells count="22">
    <mergeCell ref="B89:G90"/>
    <mergeCell ref="A4:P4"/>
    <mergeCell ref="A43:P43"/>
    <mergeCell ref="B91:G92"/>
    <mergeCell ref="B85:G86"/>
    <mergeCell ref="C7:G8"/>
    <mergeCell ref="K81:L81"/>
    <mergeCell ref="I41:P41"/>
    <mergeCell ref="B49:P49"/>
    <mergeCell ref="A82:P82"/>
    <mergeCell ref="A51:P51"/>
    <mergeCell ref="A5:P6"/>
    <mergeCell ref="A1:P1"/>
    <mergeCell ref="B41:D41"/>
    <mergeCell ref="A94:P94"/>
    <mergeCell ref="I89:P90"/>
    <mergeCell ref="A84:P84"/>
    <mergeCell ref="I91:P92"/>
    <mergeCell ref="I85:P86"/>
    <mergeCell ref="B87:G88"/>
    <mergeCell ref="I87:P88"/>
    <mergeCell ref="A2:P2"/>
  </mergeCells>
  <pageMargins left="0.75" right="0.75" top="1" bottom="1" header="0.5" footer="0.5"/>
</worksheet>
</file>

<file path=xl/worksheets/sheet8.xml><?xml version="1.0" encoding="utf-8"?>
<worksheet xmlns="http://schemas.openxmlformats.org/spreadsheetml/2006/main">
  <sheetPr>
    <tabColor rgb="00005A8C"/>
    <outlinePr summaryBelow="1" summaryRight="1"/>
    <pageSetUpPr/>
  </sheetPr>
  <dimension ref="A1:V52"/>
  <sheetViews>
    <sheetView showGridLines="0" workbookViewId="0">
      <pane ySplit="5" topLeftCell="A6" activePane="bottomLeft" state="frozen"/>
      <selection pane="bottomLeft" activeCell="A1" sqref="A1"/>
    </sheetView>
  </sheetViews>
  <sheetFormatPr baseColWidth="8" defaultRowHeight="15"/>
  <cols>
    <col width="11" customWidth="1" min="1" max="1"/>
    <col width="13" customWidth="1" min="2" max="2"/>
    <col width="24" customWidth="1" min="3" max="3"/>
    <col width="22" customWidth="1" min="4" max="4"/>
    <col width="10" customWidth="1" min="5" max="5"/>
    <col width="11" customWidth="1" min="6" max="6"/>
    <col width="11" customWidth="1" min="7" max="7"/>
    <col width="12" customWidth="1" min="8" max="8"/>
    <col width="3" customWidth="1" min="9" max="9"/>
    <col width="11" customWidth="1" min="10" max="10"/>
    <col width="12" customWidth="1" min="11" max="11"/>
    <col width="12" customWidth="1" min="12" max="12"/>
    <col width="10" customWidth="1" min="13" max="13"/>
    <col width="10" customWidth="1" min="14" max="14"/>
    <col width="10" customWidth="1" min="15" max="15"/>
    <col width="11" customWidth="1" min="16" max="16"/>
    <col width="11" customWidth="1" min="17" max="17"/>
    <col width="13" customWidth="1" min="18" max="18"/>
    <col width="8" customWidth="1" min="19" max="19"/>
    <col width="3" customWidth="1" min="20" max="20"/>
    <col width="20" customWidth="1" min="21" max="21"/>
    <col width="11" customWidth="1" min="22" max="22"/>
  </cols>
  <sheetData>
    <row r="1" ht="30" customHeight="1">
      <c r="A1" s="1" t="inlineStr">
        <is>
          <t>T6  ·  Build FactShipment  —  Swap Every Text Column for an Integer Key</t>
        </is>
      </c>
    </row>
    <row r="2" ht="30" customHeight="1">
      <c r="A2" s="2" t="inlineStr">
        <is>
          <t>Left of the gap: Shipments_Unified exactly as Week 2 left it. Right of the gap: the fact table. Row 6 is worked for you — copy it down to row 39. The rule you must not break: no descriptive text crosses the gap.</t>
        </is>
      </c>
    </row>
    <row r="3" ht="26" customHeight="1">
      <c r="A3" s="24" t="inlineStr">
        <is>
          <t>Row 6 is worked for you — copy J6:S6 down to row 39. Until T4 and T5 are filled in, every key in row 6 reads -1. That is not an error: it is the Unknown row doing its job, because IFERROR sends an unmatched lookup to key -1 instead of losing the fact row. Watch them turn into real keys as you complete the dimensions.</t>
        </is>
      </c>
    </row>
    <row r="4">
      <c r="A4" s="44" t="inlineStr">
        <is>
          <t>SOURCE  ·  grey, do not edit</t>
        </is>
      </c>
      <c r="J4" s="45" t="inlineStr">
        <is>
          <t>FACTSHIPMENT  ·  six keys + one degenerate + three measures</t>
        </is>
      </c>
      <c r="U4" s="46" t="inlineStr">
        <is>
          <t>EXCEL-ONLY SCRATCH</t>
        </is>
      </c>
    </row>
    <row r="5" ht="30" customHeight="1">
      <c r="A5" s="6" t="inlineStr">
        <is>
          <t>ShipmentID</t>
        </is>
      </c>
      <c r="B5" s="6" t="inlineStr">
        <is>
          <t>ShipDate</t>
        </is>
      </c>
      <c r="C5" s="6" t="inlineStr">
        <is>
          <t>Origin</t>
        </is>
      </c>
      <c r="D5" s="6" t="inlineStr">
        <is>
          <t>Destination</t>
        </is>
      </c>
      <c r="E5" s="6" t="inlineStr">
        <is>
          <t>Source</t>
        </is>
      </c>
      <c r="F5" s="6" t="inlineStr">
        <is>
          <t>Status</t>
        </is>
      </c>
      <c r="G5" s="6" t="inlineStr">
        <is>
          <t>WeightKG</t>
        </is>
      </c>
      <c r="H5" s="6" t="inlineStr">
        <is>
          <t>CostPKR</t>
        </is>
      </c>
      <c r="J5" s="6" t="inlineStr">
        <is>
          <t>DateKey</t>
        </is>
      </c>
      <c r="K5" s="6" t="inlineStr">
        <is>
          <t>OriginCityKey</t>
        </is>
      </c>
      <c r="L5" s="6" t="inlineStr">
        <is>
          <t>DestCityKey</t>
        </is>
      </c>
      <c r="M5" s="6" t="inlineStr">
        <is>
          <t>RouteKey</t>
        </is>
      </c>
      <c r="N5" s="6" t="inlineStr">
        <is>
          <t>ModeKey</t>
        </is>
      </c>
      <c r="O5" s="6" t="inlineStr">
        <is>
          <t>StatusKey</t>
        </is>
      </c>
      <c r="P5" s="6" t="inlineStr">
        <is>
          <t>ShipmentID</t>
        </is>
      </c>
      <c r="Q5" s="6" t="inlineStr">
        <is>
          <t>WeightKG</t>
        </is>
      </c>
      <c r="R5" s="6" t="inlineStr">
        <is>
          <t>FreightCostPKR</t>
        </is>
      </c>
      <c r="S5" s="6" t="inlineStr">
        <is>
          <t>Count</t>
        </is>
      </c>
      <c r="U5" s="6" t="inlineStr">
        <is>
          <t>OriginProvince</t>
        </is>
      </c>
      <c r="V5" s="6" t="inlineStr">
        <is>
          <t>ModeName</t>
        </is>
      </c>
    </row>
    <row r="6">
      <c r="A6" s="20" t="inlineStr">
        <is>
          <t>MR-1001</t>
        </is>
      </c>
      <c r="B6" s="21" t="n">
        <v>46054</v>
      </c>
      <c r="C6" s="14" t="inlineStr">
        <is>
          <t>Karachi Port</t>
        </is>
      </c>
      <c r="D6" s="14" t="inlineStr">
        <is>
          <t>Lahore Dry Port</t>
        </is>
      </c>
      <c r="E6" s="36" t="inlineStr">
        <is>
          <t>Marine</t>
        </is>
      </c>
      <c r="F6" s="14" t="inlineStr">
        <is>
          <t>Delivered</t>
        </is>
      </c>
      <c r="G6" s="22" t="n">
        <v>18000</v>
      </c>
      <c r="H6" s="22" t="n">
        <v>142000</v>
      </c>
      <c r="J6" s="25">
        <f>YEAR(B6)*10000+MONTH(B6)*100+DAY(B6)</f>
        <v/>
      </c>
      <c r="K6" s="25">
        <f>IFERROR(INDEX('T4 DimCity'!$I$6:$I$20,MATCH(INDEX('T4 DimCity'!$C$6:$C$28,MATCH(C6,'T4 DimCity'!$B$6:$B$28,0)),'T4 DimCity'!$J$6:$J$20,0)),-1)</f>
        <v/>
      </c>
      <c r="L6" s="25">
        <f>IFERROR(INDEX('T4 DimCity'!$I$6:$I$20,MATCH(INDEX('T4 DimCity'!$C$6:$C$28,MATCH(D6,'T4 DimCity'!$B$6:$B$28,0)),'T4 DimCity'!$J$6:$J$20,0)),-1)</f>
        <v/>
      </c>
      <c r="M6" s="25">
        <f>IFERROR(INDEX('T5 Other Dimensions'!$B$10:$B$30,MATCH(INDEX('T4 DimCity'!$C$6:$C$28,MATCH(C6,'T4 DimCity'!$B$6:$B$28,0))&amp;" -&gt; "&amp;INDEX('T4 DimCity'!$C$6:$C$28,MATCH(D6,'T4 DimCity'!$B$6:$B$28,0)),'T5 Other Dimensions'!$E$10:$E$30,0)),-1)</f>
        <v/>
      </c>
      <c r="N6" s="25">
        <f>IFERROR(INDEX('T5 Other Dimensions'!$B$45:$B$48,MATCH(E6,'T5 Other Dimensions'!$C$45:$C$48,0)),-1)</f>
        <v/>
      </c>
      <c r="O6" s="25">
        <f>IFERROR(INDEX('T5 Other Dimensions'!$K$45:$K$48,MATCH(F6,'T5 Other Dimensions'!$L$45:$L$48,0)),-1)</f>
        <v/>
      </c>
      <c r="P6" s="25">
        <f>A6</f>
        <v/>
      </c>
      <c r="Q6" s="47">
        <f>G6</f>
        <v/>
      </c>
      <c r="R6" s="47">
        <f>H6</f>
        <v/>
      </c>
      <c r="S6" s="25" t="inlineStr">
        <is>
          <t>1</t>
        </is>
      </c>
      <c r="U6" s="48">
        <f>IFERROR(INDEX('T4 DimCity'!$K$6:$K$20,MATCH(K6,'T4 DimCity'!$I$6:$I$20,0)),"?")</f>
        <v/>
      </c>
      <c r="V6" s="48">
        <f>IFERROR(INDEX('T5 Other Dimensions'!$C$45:$C$48,MATCH(N6,'T5 Other Dimensions'!$B$45:$B$48,0)),"?")</f>
        <v/>
      </c>
    </row>
    <row r="7">
      <c r="A7" s="20" t="inlineStr">
        <is>
          <t>MR-1002</t>
        </is>
      </c>
      <c r="B7" s="21" t="n">
        <v>46055</v>
      </c>
      <c r="C7" s="14" t="inlineStr">
        <is>
          <t>Port Qasim</t>
        </is>
      </c>
      <c r="D7" s="14" t="inlineStr">
        <is>
          <t>Faisalabad Dry Port</t>
        </is>
      </c>
      <c r="E7" s="36" t="inlineStr">
        <is>
          <t>Marine</t>
        </is>
      </c>
      <c r="F7" s="14" t="inlineStr">
        <is>
          <t>Delivered</t>
        </is>
      </c>
      <c r="G7" s="22" t="n">
        <v>22500</v>
      </c>
      <c r="H7" s="22" t="n">
        <v>171000</v>
      </c>
      <c r="J7" s="25" t="inlineStr"/>
      <c r="K7" s="25" t="inlineStr"/>
      <c r="L7" s="25" t="inlineStr"/>
      <c r="M7" s="25" t="inlineStr"/>
      <c r="N7" s="25" t="inlineStr"/>
      <c r="O7" s="25" t="inlineStr"/>
      <c r="P7" s="25" t="inlineStr"/>
      <c r="Q7" s="25" t="inlineStr"/>
      <c r="R7" s="25" t="inlineStr"/>
      <c r="S7" s="25" t="inlineStr"/>
      <c r="U7" s="48">
        <f>IFERROR(INDEX('T4 DimCity'!$K$6:$K$20,MATCH(K7,'T4 DimCity'!$I$6:$I$20,0)),"?")</f>
        <v/>
      </c>
      <c r="V7" s="48">
        <f>IFERROR(INDEX('T5 Other Dimensions'!$C$45:$C$48,MATCH(N7,'T5 Other Dimensions'!$B$45:$B$48,0)),"?")</f>
        <v/>
      </c>
    </row>
    <row r="8">
      <c r="A8" s="20" t="inlineStr">
        <is>
          <t>MR-1003</t>
        </is>
      </c>
      <c r="B8" s="21" t="n">
        <v>46056</v>
      </c>
      <c r="C8" s="14" t="inlineStr">
        <is>
          <t>Karachi Port</t>
        </is>
      </c>
      <c r="D8" s="14" t="inlineStr">
        <is>
          <t>Lahore Dry Port</t>
        </is>
      </c>
      <c r="E8" s="36" t="inlineStr">
        <is>
          <t>Marine</t>
        </is>
      </c>
      <c r="F8" s="14" t="inlineStr">
        <is>
          <t>In Transit</t>
        </is>
      </c>
      <c r="G8" s="22" t="n">
        <v>15000</v>
      </c>
      <c r="H8" s="22" t="n">
        <v>119000</v>
      </c>
      <c r="J8" s="25" t="inlineStr"/>
      <c r="K8" s="25" t="inlineStr"/>
      <c r="L8" s="25" t="inlineStr"/>
      <c r="M8" s="25" t="inlineStr"/>
      <c r="N8" s="25" t="inlineStr"/>
      <c r="O8" s="25" t="inlineStr"/>
      <c r="P8" s="25" t="inlineStr"/>
      <c r="Q8" s="25" t="inlineStr"/>
      <c r="R8" s="25" t="inlineStr"/>
      <c r="S8" s="25" t="inlineStr"/>
      <c r="U8" s="48">
        <f>IFERROR(INDEX('T4 DimCity'!$K$6:$K$20,MATCH(K8,'T4 DimCity'!$I$6:$I$20,0)),"?")</f>
        <v/>
      </c>
      <c r="V8" s="48">
        <f>IFERROR(INDEX('T5 Other Dimensions'!$C$45:$C$48,MATCH(N8,'T5 Other Dimensions'!$B$45:$B$48,0)),"?")</f>
        <v/>
      </c>
    </row>
    <row r="9">
      <c r="A9" s="20" t="inlineStr">
        <is>
          <t>MR-1004</t>
        </is>
      </c>
      <c r="B9" s="21" t="n">
        <v>46057</v>
      </c>
      <c r="C9" s="14" t="inlineStr">
        <is>
          <t>Gwadar Port</t>
        </is>
      </c>
      <c r="D9" s="14" t="inlineStr">
        <is>
          <t>Quetta</t>
        </is>
      </c>
      <c r="E9" s="36" t="inlineStr">
        <is>
          <t>Marine</t>
        </is>
      </c>
      <c r="F9" s="14" t="inlineStr">
        <is>
          <t>Delivered</t>
        </is>
      </c>
      <c r="G9" s="22" t="n">
        <v>20000</v>
      </c>
      <c r="H9" s="22" t="n">
        <v>188000</v>
      </c>
      <c r="J9" s="25" t="inlineStr"/>
      <c r="K9" s="25" t="inlineStr"/>
      <c r="L9" s="25" t="inlineStr"/>
      <c r="M9" s="25" t="inlineStr"/>
      <c r="N9" s="25" t="inlineStr"/>
      <c r="O9" s="25" t="inlineStr"/>
      <c r="P9" s="25" t="inlineStr"/>
      <c r="Q9" s="25" t="inlineStr"/>
      <c r="R9" s="25" t="inlineStr"/>
      <c r="S9" s="25" t="inlineStr"/>
      <c r="U9" s="48">
        <f>IFERROR(INDEX('T4 DimCity'!$K$6:$K$20,MATCH(K9,'T4 DimCity'!$I$6:$I$20,0)),"?")</f>
        <v/>
      </c>
      <c r="V9" s="48">
        <f>IFERROR(INDEX('T5 Other Dimensions'!$C$45:$C$48,MATCH(N9,'T5 Other Dimensions'!$B$45:$B$48,0)),"?")</f>
        <v/>
      </c>
    </row>
    <row r="10">
      <c r="A10" s="20" t="inlineStr">
        <is>
          <t>MR-1005</t>
        </is>
      </c>
      <c r="B10" s="21" t="n">
        <v>46058</v>
      </c>
      <c r="C10" s="14" t="inlineStr">
        <is>
          <t>Port Qasim</t>
        </is>
      </c>
      <c r="D10" s="14" t="inlineStr">
        <is>
          <t>Multan</t>
        </is>
      </c>
      <c r="E10" s="36" t="inlineStr">
        <is>
          <t>Marine</t>
        </is>
      </c>
      <c r="F10" s="14" t="inlineStr">
        <is>
          <t>Delivered</t>
        </is>
      </c>
      <c r="G10" s="22" t="n">
        <v>16500</v>
      </c>
      <c r="H10" s="22" t="n">
        <v>128000</v>
      </c>
      <c r="J10" s="25" t="inlineStr"/>
      <c r="K10" s="25" t="inlineStr"/>
      <c r="L10" s="25" t="inlineStr"/>
      <c r="M10" s="25" t="inlineStr"/>
      <c r="N10" s="25" t="inlineStr"/>
      <c r="O10" s="25" t="inlineStr"/>
      <c r="P10" s="25" t="inlineStr"/>
      <c r="Q10" s="25" t="inlineStr"/>
      <c r="R10" s="25" t="inlineStr"/>
      <c r="S10" s="25" t="inlineStr"/>
      <c r="U10" s="48">
        <f>IFERROR(INDEX('T4 DimCity'!$K$6:$K$20,MATCH(K10,'T4 DimCity'!$I$6:$I$20,0)),"?")</f>
        <v/>
      </c>
      <c r="V10" s="48">
        <f>IFERROR(INDEX('T5 Other Dimensions'!$C$45:$C$48,MATCH(N10,'T5 Other Dimensions'!$B$45:$B$48,0)),"?")</f>
        <v/>
      </c>
    </row>
    <row r="11">
      <c r="A11" s="20" t="inlineStr">
        <is>
          <t>MR-1006</t>
        </is>
      </c>
      <c r="B11" s="21" t="n">
        <v>46059</v>
      </c>
      <c r="C11" s="14" t="inlineStr">
        <is>
          <t>Karachi Port</t>
        </is>
      </c>
      <c r="D11" s="14" t="inlineStr">
        <is>
          <t>Sialkot Dry Port</t>
        </is>
      </c>
      <c r="E11" s="36" t="inlineStr">
        <is>
          <t>Marine</t>
        </is>
      </c>
      <c r="F11" s="14" t="inlineStr">
        <is>
          <t>Delayed</t>
        </is>
      </c>
      <c r="G11" s="22" t="n">
        <v>19000</v>
      </c>
      <c r="H11" s="22" t="n">
        <v>154000</v>
      </c>
      <c r="J11" s="25" t="inlineStr"/>
      <c r="K11" s="25" t="inlineStr"/>
      <c r="L11" s="25" t="inlineStr"/>
      <c r="M11" s="25" t="inlineStr"/>
      <c r="N11" s="25" t="inlineStr"/>
      <c r="O11" s="25" t="inlineStr"/>
      <c r="P11" s="25" t="inlineStr"/>
      <c r="Q11" s="25" t="inlineStr"/>
      <c r="R11" s="25" t="inlineStr"/>
      <c r="S11" s="25" t="inlineStr"/>
      <c r="U11" s="48">
        <f>IFERROR(INDEX('T4 DimCity'!$K$6:$K$20,MATCH(K11,'T4 DimCity'!$I$6:$I$20,0)),"?")</f>
        <v/>
      </c>
      <c r="V11" s="48">
        <f>IFERROR(INDEX('T5 Other Dimensions'!$C$45:$C$48,MATCH(N11,'T5 Other Dimensions'!$B$45:$B$48,0)),"?")</f>
        <v/>
      </c>
    </row>
    <row r="12">
      <c r="A12" s="20" t="inlineStr">
        <is>
          <t>MR-1007</t>
        </is>
      </c>
      <c r="B12" s="21" t="n">
        <v>46060</v>
      </c>
      <c r="C12" s="14" t="inlineStr">
        <is>
          <t>Port Qasim</t>
        </is>
      </c>
      <c r="D12" s="14" t="inlineStr">
        <is>
          <t>Lahore Dry Port</t>
        </is>
      </c>
      <c r="E12" s="36" t="inlineStr">
        <is>
          <t>Marine</t>
        </is>
      </c>
      <c r="F12" s="14" t="inlineStr">
        <is>
          <t>Delivered</t>
        </is>
      </c>
      <c r="G12" s="22" t="n">
        <v>14000</v>
      </c>
      <c r="H12" s="22" t="n">
        <v>109000</v>
      </c>
      <c r="J12" s="25" t="inlineStr"/>
      <c r="K12" s="25" t="inlineStr"/>
      <c r="L12" s="25" t="inlineStr"/>
      <c r="M12" s="25" t="inlineStr"/>
      <c r="N12" s="25" t="inlineStr"/>
      <c r="O12" s="25" t="inlineStr"/>
      <c r="P12" s="25" t="inlineStr"/>
      <c r="Q12" s="25" t="inlineStr"/>
      <c r="R12" s="25" t="inlineStr"/>
      <c r="S12" s="25" t="inlineStr"/>
      <c r="U12" s="48">
        <f>IFERROR(INDEX('T4 DimCity'!$K$6:$K$20,MATCH(K12,'T4 DimCity'!$I$6:$I$20,0)),"?")</f>
        <v/>
      </c>
      <c r="V12" s="48">
        <f>IFERROR(INDEX('T5 Other Dimensions'!$C$45:$C$48,MATCH(N12,'T5 Other Dimensions'!$B$45:$B$48,0)),"?")</f>
        <v/>
      </c>
    </row>
    <row r="13">
      <c r="A13" s="20" t="inlineStr">
        <is>
          <t>MR-1008</t>
        </is>
      </c>
      <c r="B13" s="21" t="n">
        <v>46062</v>
      </c>
      <c r="C13" s="14" t="inlineStr">
        <is>
          <t>Karachi Port</t>
        </is>
      </c>
      <c r="D13" s="14" t="inlineStr">
        <is>
          <t>Peshawar</t>
        </is>
      </c>
      <c r="E13" s="36" t="inlineStr">
        <is>
          <t>Marine</t>
        </is>
      </c>
      <c r="F13" s="14" t="inlineStr">
        <is>
          <t>In Transit</t>
        </is>
      </c>
      <c r="G13" s="22" t="n">
        <v>21000</v>
      </c>
      <c r="H13" s="22" t="n">
        <v>197000</v>
      </c>
      <c r="J13" s="25" t="inlineStr"/>
      <c r="K13" s="25" t="inlineStr"/>
      <c r="L13" s="25" t="inlineStr"/>
      <c r="M13" s="25" t="inlineStr"/>
      <c r="N13" s="25" t="inlineStr"/>
      <c r="O13" s="25" t="inlineStr"/>
      <c r="P13" s="25" t="inlineStr"/>
      <c r="Q13" s="25" t="inlineStr"/>
      <c r="R13" s="25" t="inlineStr"/>
      <c r="S13" s="25" t="inlineStr"/>
      <c r="U13" s="48">
        <f>IFERROR(INDEX('T4 DimCity'!$K$6:$K$20,MATCH(K13,'T4 DimCity'!$I$6:$I$20,0)),"?")</f>
        <v/>
      </c>
      <c r="V13" s="48">
        <f>IFERROR(INDEX('T5 Other Dimensions'!$C$45:$C$48,MATCH(N13,'T5 Other Dimensions'!$B$45:$B$48,0)),"?")</f>
        <v/>
      </c>
    </row>
    <row r="14">
      <c r="A14" s="20" t="inlineStr">
        <is>
          <t>MR-1009</t>
        </is>
      </c>
      <c r="B14" s="21" t="n">
        <v>46063</v>
      </c>
      <c r="C14" s="14" t="inlineStr">
        <is>
          <t>Gwadar Port</t>
        </is>
      </c>
      <c r="D14" s="14" t="inlineStr">
        <is>
          <t>Karachi Cantt</t>
        </is>
      </c>
      <c r="E14" s="36" t="inlineStr">
        <is>
          <t>Marine</t>
        </is>
      </c>
      <c r="F14" s="14" t="inlineStr">
        <is>
          <t>Delivered</t>
        </is>
      </c>
      <c r="G14" s="22" t="n">
        <v>17500</v>
      </c>
      <c r="H14" s="22" t="n">
        <v>98000</v>
      </c>
      <c r="J14" s="25" t="inlineStr"/>
      <c r="K14" s="25" t="inlineStr"/>
      <c r="L14" s="25" t="inlineStr"/>
      <c r="M14" s="25" t="inlineStr"/>
      <c r="N14" s="25" t="inlineStr"/>
      <c r="O14" s="25" t="inlineStr"/>
      <c r="P14" s="25" t="inlineStr"/>
      <c r="Q14" s="25" t="inlineStr"/>
      <c r="R14" s="25" t="inlineStr"/>
      <c r="S14" s="25" t="inlineStr"/>
      <c r="U14" s="48">
        <f>IFERROR(INDEX('T4 DimCity'!$K$6:$K$20,MATCH(K14,'T4 DimCity'!$I$6:$I$20,0)),"?")</f>
        <v/>
      </c>
      <c r="V14" s="48">
        <f>IFERROR(INDEX('T5 Other Dimensions'!$C$45:$C$48,MATCH(N14,'T5 Other Dimensions'!$B$45:$B$48,0)),"?")</f>
        <v/>
      </c>
    </row>
    <row r="15">
      <c r="A15" s="20" t="inlineStr">
        <is>
          <t>MR-1010</t>
        </is>
      </c>
      <c r="B15" s="21" t="n">
        <v>46064</v>
      </c>
      <c r="C15" s="14" t="inlineStr">
        <is>
          <t>Port Qasim</t>
        </is>
      </c>
      <c r="D15" s="14" t="inlineStr">
        <is>
          <t>Islamabad Dry Port</t>
        </is>
      </c>
      <c r="E15" s="36" t="inlineStr">
        <is>
          <t>Marine</t>
        </is>
      </c>
      <c r="F15" s="14" t="inlineStr">
        <is>
          <t>Delivered</t>
        </is>
      </c>
      <c r="G15" s="22" t="n">
        <v>15500</v>
      </c>
      <c r="H15" s="22" t="n">
        <v>139000</v>
      </c>
      <c r="J15" s="25" t="inlineStr"/>
      <c r="K15" s="25" t="inlineStr"/>
      <c r="L15" s="25" t="inlineStr"/>
      <c r="M15" s="25" t="inlineStr"/>
      <c r="N15" s="25" t="inlineStr"/>
      <c r="O15" s="25" t="inlineStr"/>
      <c r="P15" s="25" t="inlineStr"/>
      <c r="Q15" s="25" t="inlineStr"/>
      <c r="R15" s="25" t="inlineStr"/>
      <c r="S15" s="25" t="inlineStr"/>
      <c r="U15" s="48">
        <f>IFERROR(INDEX('T4 DimCity'!$K$6:$K$20,MATCH(K15,'T4 DimCity'!$I$6:$I$20,0)),"?")</f>
        <v/>
      </c>
      <c r="V15" s="48">
        <f>IFERROR(INDEX('T5 Other Dimensions'!$C$45:$C$48,MATCH(N15,'T5 Other Dimensions'!$B$45:$B$48,0)),"?")</f>
        <v/>
      </c>
    </row>
    <row r="16">
      <c r="A16" s="20" t="inlineStr">
        <is>
          <t>MR-1011</t>
        </is>
      </c>
      <c r="B16" s="21" t="n">
        <v>46065</v>
      </c>
      <c r="C16" s="14" t="inlineStr">
        <is>
          <t>Karachi Port</t>
        </is>
      </c>
      <c r="D16" s="14" t="inlineStr">
        <is>
          <t>Hyderabad</t>
        </is>
      </c>
      <c r="E16" s="36" t="inlineStr">
        <is>
          <t>Marine</t>
        </is>
      </c>
      <c r="F16" s="14" t="inlineStr">
        <is>
          <t>In Transit</t>
        </is>
      </c>
      <c r="G16" s="22" t="n">
        <v>13500</v>
      </c>
      <c r="H16" s="22" t="n">
        <v>61000</v>
      </c>
      <c r="J16" s="25" t="inlineStr"/>
      <c r="K16" s="25" t="inlineStr"/>
      <c r="L16" s="25" t="inlineStr"/>
      <c r="M16" s="25" t="inlineStr"/>
      <c r="N16" s="25" t="inlineStr"/>
      <c r="O16" s="25" t="inlineStr"/>
      <c r="P16" s="25" t="inlineStr"/>
      <c r="Q16" s="25" t="inlineStr"/>
      <c r="R16" s="25" t="inlineStr"/>
      <c r="S16" s="25" t="inlineStr"/>
      <c r="U16" s="48">
        <f>IFERROR(INDEX('T4 DimCity'!$K$6:$K$20,MATCH(K16,'T4 DimCity'!$I$6:$I$20,0)),"?")</f>
        <v/>
      </c>
      <c r="V16" s="48">
        <f>IFERROR(INDEX('T5 Other Dimensions'!$C$45:$C$48,MATCH(N16,'T5 Other Dimensions'!$B$45:$B$48,0)),"?")</f>
        <v/>
      </c>
    </row>
    <row r="17">
      <c r="A17" s="20" t="inlineStr">
        <is>
          <t>MR-1012</t>
        </is>
      </c>
      <c r="B17" s="21" t="n">
        <v>46066</v>
      </c>
      <c r="C17" s="14" t="inlineStr">
        <is>
          <t>Port Qasim</t>
        </is>
      </c>
      <c r="D17" s="14" t="inlineStr">
        <is>
          <t>Lahore Dry Port</t>
        </is>
      </c>
      <c r="E17" s="36" t="inlineStr">
        <is>
          <t>Marine</t>
        </is>
      </c>
      <c r="F17" s="14" t="inlineStr">
        <is>
          <t>Delivered</t>
        </is>
      </c>
      <c r="G17" s="22" t="n">
        <v>14000</v>
      </c>
      <c r="H17" s="22" t="n">
        <v>112000</v>
      </c>
      <c r="J17" s="25" t="inlineStr"/>
      <c r="K17" s="25" t="inlineStr"/>
      <c r="L17" s="25" t="inlineStr"/>
      <c r="M17" s="25" t="inlineStr"/>
      <c r="N17" s="25" t="inlineStr"/>
      <c r="O17" s="25" t="inlineStr"/>
      <c r="P17" s="25" t="inlineStr"/>
      <c r="Q17" s="25" t="inlineStr"/>
      <c r="R17" s="25" t="inlineStr"/>
      <c r="S17" s="25" t="inlineStr"/>
      <c r="U17" s="48">
        <f>IFERROR(INDEX('T4 DimCity'!$K$6:$K$20,MATCH(K17,'T4 DimCity'!$I$6:$I$20,0)),"?")</f>
        <v/>
      </c>
      <c r="V17" s="48">
        <f>IFERROR(INDEX('T5 Other Dimensions'!$C$45:$C$48,MATCH(N17,'T5 Other Dimensions'!$B$45:$B$48,0)),"?")</f>
        <v/>
      </c>
    </row>
    <row r="18">
      <c r="A18" s="20" t="inlineStr">
        <is>
          <t>RL-45012</t>
        </is>
      </c>
      <c r="B18" s="21" t="n">
        <v>46056</v>
      </c>
      <c r="C18" s="14" t="inlineStr">
        <is>
          <t>Karachi Cantt</t>
        </is>
      </c>
      <c r="D18" s="14" t="inlineStr">
        <is>
          <t>Lahore</t>
        </is>
      </c>
      <c r="E18" s="36" t="inlineStr">
        <is>
          <t>Rail</t>
        </is>
      </c>
      <c r="F18" s="14" t="inlineStr">
        <is>
          <t>Delivered</t>
        </is>
      </c>
      <c r="G18" s="22" t="n">
        <v>32500</v>
      </c>
      <c r="H18" s="22" t="n">
        <v>285000</v>
      </c>
      <c r="J18" s="25" t="inlineStr"/>
      <c r="K18" s="25" t="inlineStr"/>
      <c r="L18" s="25" t="inlineStr"/>
      <c r="M18" s="25" t="inlineStr"/>
      <c r="N18" s="25" t="inlineStr"/>
      <c r="O18" s="25" t="inlineStr"/>
      <c r="P18" s="25" t="inlineStr"/>
      <c r="Q18" s="25" t="inlineStr"/>
      <c r="R18" s="25" t="inlineStr"/>
      <c r="S18" s="25" t="inlineStr"/>
      <c r="U18" s="48">
        <f>IFERROR(INDEX('T4 DimCity'!$K$6:$K$20,MATCH(K18,'T4 DimCity'!$I$6:$I$20,0)),"?")</f>
        <v/>
      </c>
      <c r="V18" s="48">
        <f>IFERROR(INDEX('T5 Other Dimensions'!$C$45:$C$48,MATCH(N18,'T5 Other Dimensions'!$B$45:$B$48,0)),"?")</f>
        <v/>
      </c>
    </row>
    <row r="19">
      <c r="A19" s="20" t="inlineStr">
        <is>
          <t>RL-45013</t>
        </is>
      </c>
      <c r="B19" s="21" t="n">
        <v>46056</v>
      </c>
      <c r="C19" s="14" t="inlineStr">
        <is>
          <t>Karachi Cantt</t>
        </is>
      </c>
      <c r="D19" s="14" t="inlineStr">
        <is>
          <t>Rawalpindi</t>
        </is>
      </c>
      <c r="E19" s="36" t="inlineStr">
        <is>
          <t>Rail</t>
        </is>
      </c>
      <c r="F19" s="14" t="inlineStr">
        <is>
          <t>Delivered</t>
        </is>
      </c>
      <c r="G19" s="22" t="n">
        <v>28750</v>
      </c>
      <c r="H19" s="22" t="n">
        <v>301000</v>
      </c>
      <c r="J19" s="25" t="inlineStr"/>
      <c r="K19" s="25" t="inlineStr"/>
      <c r="L19" s="25" t="inlineStr"/>
      <c r="M19" s="25" t="inlineStr"/>
      <c r="N19" s="25" t="inlineStr"/>
      <c r="O19" s="25" t="inlineStr"/>
      <c r="P19" s="25" t="inlineStr"/>
      <c r="Q19" s="25" t="inlineStr"/>
      <c r="R19" s="25" t="inlineStr"/>
      <c r="S19" s="25" t="inlineStr"/>
      <c r="U19" s="48">
        <f>IFERROR(INDEX('T4 DimCity'!$K$6:$K$20,MATCH(K19,'T4 DimCity'!$I$6:$I$20,0)),"?")</f>
        <v/>
      </c>
      <c r="V19" s="48">
        <f>IFERROR(INDEX('T5 Other Dimensions'!$C$45:$C$48,MATCH(N19,'T5 Other Dimensions'!$B$45:$B$48,0)),"?")</f>
        <v/>
      </c>
    </row>
    <row r="20">
      <c r="A20" s="20" t="inlineStr">
        <is>
          <t>RL-45014</t>
        </is>
      </c>
      <c r="B20" s="21" t="n">
        <v>46057</v>
      </c>
      <c r="C20" s="14" t="inlineStr">
        <is>
          <t>Pipri Marshalling Yard</t>
        </is>
      </c>
      <c r="D20" s="14" t="inlineStr">
        <is>
          <t>Faisalabad</t>
        </is>
      </c>
      <c r="E20" s="36" t="inlineStr">
        <is>
          <t>Rail</t>
        </is>
      </c>
      <c r="F20" s="14" t="inlineStr">
        <is>
          <t>In Transit</t>
        </is>
      </c>
      <c r="G20" s="22" t="n">
        <v>30000</v>
      </c>
      <c r="H20" s="22" t="n">
        <v>262000</v>
      </c>
      <c r="J20" s="25" t="inlineStr"/>
      <c r="K20" s="25" t="inlineStr"/>
      <c r="L20" s="25" t="inlineStr"/>
      <c r="M20" s="25" t="inlineStr"/>
      <c r="N20" s="25" t="inlineStr"/>
      <c r="O20" s="25" t="inlineStr"/>
      <c r="P20" s="25" t="inlineStr"/>
      <c r="Q20" s="25" t="inlineStr"/>
      <c r="R20" s="25" t="inlineStr"/>
      <c r="S20" s="25" t="inlineStr"/>
      <c r="U20" s="48">
        <f>IFERROR(INDEX('T4 DimCity'!$K$6:$K$20,MATCH(K20,'T4 DimCity'!$I$6:$I$20,0)),"?")</f>
        <v/>
      </c>
      <c r="V20" s="48">
        <f>IFERROR(INDEX('T5 Other Dimensions'!$C$45:$C$48,MATCH(N20,'T5 Other Dimensions'!$B$45:$B$48,0)),"?")</f>
        <v/>
      </c>
    </row>
    <row r="21">
      <c r="A21" s="20" t="inlineStr">
        <is>
          <t>RL-45015</t>
        </is>
      </c>
      <c r="B21" s="21" t="n">
        <v>46058</v>
      </c>
      <c r="C21" s="14" t="inlineStr">
        <is>
          <t>Karachi Cantt</t>
        </is>
      </c>
      <c r="D21" s="14" t="inlineStr">
        <is>
          <t>Multan</t>
        </is>
      </c>
      <c r="E21" s="36" t="inlineStr">
        <is>
          <t>Rail</t>
        </is>
      </c>
      <c r="F21" s="14" t="inlineStr">
        <is>
          <t>Delivered</t>
        </is>
      </c>
      <c r="G21" s="22" t="n">
        <v>26500</v>
      </c>
      <c r="H21" s="22" t="n">
        <v>198000</v>
      </c>
      <c r="J21" s="25" t="inlineStr"/>
      <c r="K21" s="25" t="inlineStr"/>
      <c r="L21" s="25" t="inlineStr"/>
      <c r="M21" s="25" t="inlineStr"/>
      <c r="N21" s="25" t="inlineStr"/>
      <c r="O21" s="25" t="inlineStr"/>
      <c r="P21" s="25" t="inlineStr"/>
      <c r="Q21" s="25" t="inlineStr"/>
      <c r="R21" s="25" t="inlineStr"/>
      <c r="S21" s="25" t="inlineStr"/>
      <c r="U21" s="48">
        <f>IFERROR(INDEX('T4 DimCity'!$K$6:$K$20,MATCH(K21,'T4 DimCity'!$I$6:$I$20,0)),"?")</f>
        <v/>
      </c>
      <c r="V21" s="48">
        <f>IFERROR(INDEX('T5 Other Dimensions'!$C$45:$C$48,MATCH(N21,'T5 Other Dimensions'!$B$45:$B$48,0)),"?")</f>
        <v/>
      </c>
    </row>
    <row r="22">
      <c r="A22" s="20" t="inlineStr">
        <is>
          <t>RL-45016</t>
        </is>
      </c>
      <c r="B22" s="21" t="n">
        <v>46059</v>
      </c>
      <c r="C22" s="14" t="inlineStr">
        <is>
          <t>Pipri Marshalling Yard</t>
        </is>
      </c>
      <c r="D22" s="14" t="inlineStr">
        <is>
          <t>Lahore</t>
        </is>
      </c>
      <c r="E22" s="36" t="inlineStr">
        <is>
          <t>Rail</t>
        </is>
      </c>
      <c r="F22" s="14" t="inlineStr">
        <is>
          <t>Delayed</t>
        </is>
      </c>
      <c r="G22" s="22" t="n">
        <v>31250</v>
      </c>
      <c r="H22" s="22" t="n">
        <v>276000</v>
      </c>
      <c r="J22" s="25" t="inlineStr"/>
      <c r="K22" s="25" t="inlineStr"/>
      <c r="L22" s="25" t="inlineStr"/>
      <c r="M22" s="25" t="inlineStr"/>
      <c r="N22" s="25" t="inlineStr"/>
      <c r="O22" s="25" t="inlineStr"/>
      <c r="P22" s="25" t="inlineStr"/>
      <c r="Q22" s="25" t="inlineStr"/>
      <c r="R22" s="25" t="inlineStr"/>
      <c r="S22" s="25" t="inlineStr"/>
      <c r="U22" s="48">
        <f>IFERROR(INDEX('T4 DimCity'!$K$6:$K$20,MATCH(K22,'T4 DimCity'!$I$6:$I$20,0)),"?")</f>
        <v/>
      </c>
      <c r="V22" s="48">
        <f>IFERROR(INDEX('T5 Other Dimensions'!$C$45:$C$48,MATCH(N22,'T5 Other Dimensions'!$B$45:$B$48,0)),"?")</f>
        <v/>
      </c>
    </row>
    <row r="23">
      <c r="A23" s="20" t="inlineStr">
        <is>
          <t>RL-45017</t>
        </is>
      </c>
      <c r="B23" s="21" t="n">
        <v>46060</v>
      </c>
      <c r="C23" s="14" t="inlineStr">
        <is>
          <t>Karachi Cantt</t>
        </is>
      </c>
      <c r="D23" s="14" t="inlineStr">
        <is>
          <t>Peshawar Cantt</t>
        </is>
      </c>
      <c r="E23" s="36" t="inlineStr">
        <is>
          <t>Rail</t>
        </is>
      </c>
      <c r="F23" s="14" t="inlineStr">
        <is>
          <t>Delivered</t>
        </is>
      </c>
      <c r="G23" s="22" t="n">
        <v>29000</v>
      </c>
      <c r="H23" s="22" t="n">
        <v>334000</v>
      </c>
      <c r="J23" s="25" t="inlineStr"/>
      <c r="K23" s="25" t="inlineStr"/>
      <c r="L23" s="25" t="inlineStr"/>
      <c r="M23" s="25" t="inlineStr"/>
      <c r="N23" s="25" t="inlineStr"/>
      <c r="O23" s="25" t="inlineStr"/>
      <c r="P23" s="25" t="inlineStr"/>
      <c r="Q23" s="25" t="inlineStr"/>
      <c r="R23" s="25" t="inlineStr"/>
      <c r="S23" s="25" t="inlineStr"/>
      <c r="U23" s="48">
        <f>IFERROR(INDEX('T4 DimCity'!$K$6:$K$20,MATCH(K23,'T4 DimCity'!$I$6:$I$20,0)),"?")</f>
        <v/>
      </c>
      <c r="V23" s="48">
        <f>IFERROR(INDEX('T5 Other Dimensions'!$C$45:$C$48,MATCH(N23,'T5 Other Dimensions'!$B$45:$B$48,0)),"?")</f>
        <v/>
      </c>
    </row>
    <row r="24">
      <c r="A24" s="20" t="inlineStr">
        <is>
          <t>RL-45018</t>
        </is>
      </c>
      <c r="B24" s="21" t="n">
        <v>46062</v>
      </c>
      <c r="C24" s="14" t="inlineStr">
        <is>
          <t>Pipri Marshalling Yard</t>
        </is>
      </c>
      <c r="D24" s="14" t="inlineStr">
        <is>
          <t>Rawalpindi</t>
        </is>
      </c>
      <c r="E24" s="36" t="inlineStr">
        <is>
          <t>Rail</t>
        </is>
      </c>
      <c r="F24" s="14" t="inlineStr">
        <is>
          <t>Delayed</t>
        </is>
      </c>
      <c r="G24" s="22" t="n">
        <v>27500</v>
      </c>
      <c r="H24" s="22" t="n">
        <v>289000</v>
      </c>
      <c r="J24" s="25" t="inlineStr"/>
      <c r="K24" s="25" t="inlineStr"/>
      <c r="L24" s="25" t="inlineStr"/>
      <c r="M24" s="25" t="inlineStr"/>
      <c r="N24" s="25" t="inlineStr"/>
      <c r="O24" s="25" t="inlineStr"/>
      <c r="P24" s="25" t="inlineStr"/>
      <c r="Q24" s="25" t="inlineStr"/>
      <c r="R24" s="25" t="inlineStr"/>
      <c r="S24" s="25" t="inlineStr"/>
      <c r="U24" s="48">
        <f>IFERROR(INDEX('T4 DimCity'!$K$6:$K$20,MATCH(K24,'T4 DimCity'!$I$6:$I$20,0)),"?")</f>
        <v/>
      </c>
      <c r="V24" s="48">
        <f>IFERROR(INDEX('T5 Other Dimensions'!$C$45:$C$48,MATCH(N24,'T5 Other Dimensions'!$B$45:$B$48,0)),"?")</f>
        <v/>
      </c>
    </row>
    <row r="25">
      <c r="A25" s="20" t="inlineStr">
        <is>
          <t>RL-45019</t>
        </is>
      </c>
      <c r="B25" s="21" t="n">
        <v>46063</v>
      </c>
      <c r="C25" s="14" t="inlineStr">
        <is>
          <t>Karachi Cantt</t>
        </is>
      </c>
      <c r="D25" s="14" t="inlineStr">
        <is>
          <t>Lahore</t>
        </is>
      </c>
      <c r="E25" s="36" t="inlineStr">
        <is>
          <t>Rail</t>
        </is>
      </c>
      <c r="F25" s="14" t="inlineStr">
        <is>
          <t>Delivered</t>
        </is>
      </c>
      <c r="G25" s="22" t="n">
        <v>33000</v>
      </c>
      <c r="H25" s="22" t="n">
        <v>291000</v>
      </c>
      <c r="J25" s="25" t="inlineStr"/>
      <c r="K25" s="25" t="inlineStr"/>
      <c r="L25" s="25" t="inlineStr"/>
      <c r="M25" s="25" t="inlineStr"/>
      <c r="N25" s="25" t="inlineStr"/>
      <c r="O25" s="25" t="inlineStr"/>
      <c r="P25" s="25" t="inlineStr"/>
      <c r="Q25" s="25" t="inlineStr"/>
      <c r="R25" s="25" t="inlineStr"/>
      <c r="S25" s="25" t="inlineStr"/>
      <c r="U25" s="48">
        <f>IFERROR(INDEX('T4 DimCity'!$K$6:$K$20,MATCH(K25,'T4 DimCity'!$I$6:$I$20,0)),"?")</f>
        <v/>
      </c>
      <c r="V25" s="48">
        <f>IFERROR(INDEX('T5 Other Dimensions'!$C$45:$C$48,MATCH(N25,'T5 Other Dimensions'!$B$45:$B$48,0)),"?")</f>
        <v/>
      </c>
    </row>
    <row r="26">
      <c r="A26" s="20" t="inlineStr">
        <is>
          <t>RL-45020</t>
        </is>
      </c>
      <c r="B26" s="21" t="n">
        <v>46064</v>
      </c>
      <c r="C26" s="14" t="inlineStr">
        <is>
          <t>Karachi Cantt</t>
        </is>
      </c>
      <c r="D26" s="14" t="inlineStr">
        <is>
          <t>Sukkur</t>
        </is>
      </c>
      <c r="E26" s="36" t="inlineStr">
        <is>
          <t>Rail</t>
        </is>
      </c>
      <c r="F26" s="14" t="inlineStr">
        <is>
          <t>In Transit</t>
        </is>
      </c>
      <c r="G26" s="22" t="n">
        <v>28250</v>
      </c>
      <c r="H26" s="22" t="n">
        <v>142000</v>
      </c>
      <c r="J26" s="25" t="inlineStr"/>
      <c r="K26" s="25" t="inlineStr"/>
      <c r="L26" s="25" t="inlineStr"/>
      <c r="M26" s="25" t="inlineStr"/>
      <c r="N26" s="25" t="inlineStr"/>
      <c r="O26" s="25" t="inlineStr"/>
      <c r="P26" s="25" t="inlineStr"/>
      <c r="Q26" s="25" t="inlineStr"/>
      <c r="R26" s="25" t="inlineStr"/>
      <c r="S26" s="25" t="inlineStr"/>
      <c r="U26" s="48">
        <f>IFERROR(INDEX('T4 DimCity'!$K$6:$K$20,MATCH(K26,'T4 DimCity'!$I$6:$I$20,0)),"?")</f>
        <v/>
      </c>
      <c r="V26" s="48">
        <f>IFERROR(INDEX('T5 Other Dimensions'!$C$45:$C$48,MATCH(N26,'T5 Other Dimensions'!$B$45:$B$48,0)),"?")</f>
        <v/>
      </c>
    </row>
    <row r="27">
      <c r="A27" s="20" t="inlineStr">
        <is>
          <t>RL-45021</t>
        </is>
      </c>
      <c r="B27" s="21" t="n">
        <v>46065</v>
      </c>
      <c r="C27" s="14" t="inlineStr">
        <is>
          <t>Pipri Marshalling Yard</t>
        </is>
      </c>
      <c r="D27" s="14" t="inlineStr">
        <is>
          <t>Multan</t>
        </is>
      </c>
      <c r="E27" s="36" t="inlineStr">
        <is>
          <t>Rail</t>
        </is>
      </c>
      <c r="F27" s="14" t="inlineStr">
        <is>
          <t>Delivered</t>
        </is>
      </c>
      <c r="G27" s="22" t="n">
        <v>28500</v>
      </c>
      <c r="H27" s="22" t="n">
        <v>207000</v>
      </c>
      <c r="J27" s="25" t="inlineStr"/>
      <c r="K27" s="25" t="inlineStr"/>
      <c r="L27" s="25" t="inlineStr"/>
      <c r="M27" s="25" t="inlineStr"/>
      <c r="N27" s="25" t="inlineStr"/>
      <c r="O27" s="25" t="inlineStr"/>
      <c r="P27" s="25" t="inlineStr"/>
      <c r="Q27" s="25" t="inlineStr"/>
      <c r="R27" s="25" t="inlineStr"/>
      <c r="S27" s="25" t="inlineStr"/>
      <c r="U27" s="48">
        <f>IFERROR(INDEX('T4 DimCity'!$K$6:$K$20,MATCH(K27,'T4 DimCity'!$I$6:$I$20,0)),"?")</f>
        <v/>
      </c>
      <c r="V27" s="48">
        <f>IFERROR(INDEX('T5 Other Dimensions'!$C$45:$C$48,MATCH(N27,'T5 Other Dimensions'!$B$45:$B$48,0)),"?")</f>
        <v/>
      </c>
    </row>
    <row r="28">
      <c r="A28" s="20" t="inlineStr">
        <is>
          <t>RD-501</t>
        </is>
      </c>
      <c r="B28" s="21" t="n">
        <v>46055</v>
      </c>
      <c r="C28" s="14" t="inlineStr">
        <is>
          <t>Lahore</t>
        </is>
      </c>
      <c r="D28" s="14" t="inlineStr">
        <is>
          <t>Islamabad</t>
        </is>
      </c>
      <c r="E28" s="36" t="inlineStr">
        <is>
          <t>Road</t>
        </is>
      </c>
      <c r="F28" s="14" t="inlineStr">
        <is>
          <t>Delivered</t>
        </is>
      </c>
      <c r="G28" s="22" t="n">
        <v>6500</v>
      </c>
      <c r="H28" s="22" t="n">
        <v>58000</v>
      </c>
      <c r="J28" s="25" t="inlineStr"/>
      <c r="K28" s="25" t="inlineStr"/>
      <c r="L28" s="25" t="inlineStr"/>
      <c r="M28" s="25" t="inlineStr"/>
      <c r="N28" s="25" t="inlineStr"/>
      <c r="O28" s="25" t="inlineStr"/>
      <c r="P28" s="25" t="inlineStr"/>
      <c r="Q28" s="25" t="inlineStr"/>
      <c r="R28" s="25" t="inlineStr"/>
      <c r="S28" s="25" t="inlineStr"/>
      <c r="U28" s="48">
        <f>IFERROR(INDEX('T4 DimCity'!$K$6:$K$20,MATCH(K28,'T4 DimCity'!$I$6:$I$20,0)),"?")</f>
        <v/>
      </c>
      <c r="V28" s="48">
        <f>IFERROR(INDEX('T5 Other Dimensions'!$C$45:$C$48,MATCH(N28,'T5 Other Dimensions'!$B$45:$B$48,0)),"?")</f>
        <v/>
      </c>
    </row>
    <row r="29">
      <c r="A29" s="20" t="inlineStr">
        <is>
          <t>RD-502</t>
        </is>
      </c>
      <c r="B29" s="21" t="n">
        <v>46055</v>
      </c>
      <c r="C29" s="14" t="inlineStr">
        <is>
          <t>Karachi</t>
        </is>
      </c>
      <c r="D29" s="14" t="inlineStr">
        <is>
          <t>Hyderabad</t>
        </is>
      </c>
      <c r="E29" s="36" t="inlineStr">
        <is>
          <t>Road</t>
        </is>
      </c>
      <c r="F29" s="14" t="inlineStr">
        <is>
          <t>Delivered</t>
        </is>
      </c>
      <c r="G29" s="22" t="n">
        <v>7200</v>
      </c>
      <c r="H29" s="22" t="n">
        <v>41000</v>
      </c>
      <c r="J29" s="25" t="inlineStr"/>
      <c r="K29" s="25" t="inlineStr"/>
      <c r="L29" s="25" t="inlineStr"/>
      <c r="M29" s="25" t="inlineStr"/>
      <c r="N29" s="25" t="inlineStr"/>
      <c r="O29" s="25" t="inlineStr"/>
      <c r="P29" s="25" t="inlineStr"/>
      <c r="Q29" s="25" t="inlineStr"/>
      <c r="R29" s="25" t="inlineStr"/>
      <c r="S29" s="25" t="inlineStr"/>
      <c r="U29" s="48">
        <f>IFERROR(INDEX('T4 DimCity'!$K$6:$K$20,MATCH(K29,'T4 DimCity'!$I$6:$I$20,0)),"?")</f>
        <v/>
      </c>
      <c r="V29" s="48">
        <f>IFERROR(INDEX('T5 Other Dimensions'!$C$45:$C$48,MATCH(N29,'T5 Other Dimensions'!$B$45:$B$48,0)),"?")</f>
        <v/>
      </c>
    </row>
    <row r="30">
      <c r="A30" s="20" t="inlineStr">
        <is>
          <t>RD-503</t>
        </is>
      </c>
      <c r="B30" s="21" t="n">
        <v>46056</v>
      </c>
      <c r="C30" s="14" t="inlineStr">
        <is>
          <t>Lahore</t>
        </is>
      </c>
      <c r="D30" s="14" t="inlineStr">
        <is>
          <t>Faisalabad</t>
        </is>
      </c>
      <c r="E30" s="36" t="inlineStr">
        <is>
          <t>Road</t>
        </is>
      </c>
      <c r="F30" s="14" t="inlineStr">
        <is>
          <t>In Transit</t>
        </is>
      </c>
      <c r="G30" s="22" t="n">
        <v>5800</v>
      </c>
      <c r="H30" s="22" t="n">
        <v>32000</v>
      </c>
      <c r="J30" s="25" t="inlineStr"/>
      <c r="K30" s="25" t="inlineStr"/>
      <c r="L30" s="25" t="inlineStr"/>
      <c r="M30" s="25" t="inlineStr"/>
      <c r="N30" s="25" t="inlineStr"/>
      <c r="O30" s="25" t="inlineStr"/>
      <c r="P30" s="25" t="inlineStr"/>
      <c r="Q30" s="25" t="inlineStr"/>
      <c r="R30" s="25" t="inlineStr"/>
      <c r="S30" s="25" t="inlineStr"/>
      <c r="U30" s="48">
        <f>IFERROR(INDEX('T4 DimCity'!$K$6:$K$20,MATCH(K30,'T4 DimCity'!$I$6:$I$20,0)),"?")</f>
        <v/>
      </c>
      <c r="V30" s="48">
        <f>IFERROR(INDEX('T5 Other Dimensions'!$C$45:$C$48,MATCH(N30,'T5 Other Dimensions'!$B$45:$B$48,0)),"?")</f>
        <v/>
      </c>
    </row>
    <row r="31">
      <c r="A31" s="20" t="inlineStr">
        <is>
          <t>RD-504</t>
        </is>
      </c>
      <c r="B31" s="21" t="n">
        <v>46057</v>
      </c>
      <c r="C31" s="14" t="inlineStr">
        <is>
          <t>Multan</t>
        </is>
      </c>
      <c r="D31" s="14" t="inlineStr">
        <is>
          <t>Lahore</t>
        </is>
      </c>
      <c r="E31" s="36" t="inlineStr">
        <is>
          <t>Road</t>
        </is>
      </c>
      <c r="F31" s="14" t="inlineStr">
        <is>
          <t>Delivered</t>
        </is>
      </c>
      <c r="G31" s="22" t="n">
        <v>6900</v>
      </c>
      <c r="H31" s="22" t="n">
        <v>61000</v>
      </c>
      <c r="J31" s="25" t="inlineStr"/>
      <c r="K31" s="25" t="inlineStr"/>
      <c r="L31" s="25" t="inlineStr"/>
      <c r="M31" s="25" t="inlineStr"/>
      <c r="N31" s="25" t="inlineStr"/>
      <c r="O31" s="25" t="inlineStr"/>
      <c r="P31" s="25" t="inlineStr"/>
      <c r="Q31" s="25" t="inlineStr"/>
      <c r="R31" s="25" t="inlineStr"/>
      <c r="S31" s="25" t="inlineStr"/>
      <c r="U31" s="48">
        <f>IFERROR(INDEX('T4 DimCity'!$K$6:$K$20,MATCH(K31,'T4 DimCity'!$I$6:$I$20,0)),"?")</f>
        <v/>
      </c>
      <c r="V31" s="48">
        <f>IFERROR(INDEX('T5 Other Dimensions'!$C$45:$C$48,MATCH(N31,'T5 Other Dimensions'!$B$45:$B$48,0)),"?")</f>
        <v/>
      </c>
    </row>
    <row r="32">
      <c r="A32" s="20" t="inlineStr">
        <is>
          <t>RD-505</t>
        </is>
      </c>
      <c r="B32" s="21" t="n">
        <v>46058</v>
      </c>
      <c r="C32" s="14" t="inlineStr">
        <is>
          <t>Islamabad</t>
        </is>
      </c>
      <c r="D32" s="14" t="inlineStr">
        <is>
          <t>Peshawar</t>
        </is>
      </c>
      <c r="E32" s="36" t="inlineStr">
        <is>
          <t>Road</t>
        </is>
      </c>
      <c r="F32" s="14" t="inlineStr">
        <is>
          <t>Delivered</t>
        </is>
      </c>
      <c r="G32" s="22" t="n">
        <v>6100</v>
      </c>
      <c r="H32" s="22" t="n">
        <v>47000</v>
      </c>
      <c r="J32" s="25" t="inlineStr"/>
      <c r="K32" s="25" t="inlineStr"/>
      <c r="L32" s="25" t="inlineStr"/>
      <c r="M32" s="25" t="inlineStr"/>
      <c r="N32" s="25" t="inlineStr"/>
      <c r="O32" s="25" t="inlineStr"/>
      <c r="P32" s="25" t="inlineStr"/>
      <c r="Q32" s="25" t="inlineStr"/>
      <c r="R32" s="25" t="inlineStr"/>
      <c r="S32" s="25" t="inlineStr"/>
      <c r="U32" s="48">
        <f>IFERROR(INDEX('T4 DimCity'!$K$6:$K$20,MATCH(K32,'T4 DimCity'!$I$6:$I$20,0)),"?")</f>
        <v/>
      </c>
      <c r="V32" s="48">
        <f>IFERROR(INDEX('T5 Other Dimensions'!$C$45:$C$48,MATCH(N32,'T5 Other Dimensions'!$B$45:$B$48,0)),"?")</f>
        <v/>
      </c>
    </row>
    <row r="33">
      <c r="A33" s="20" t="inlineStr">
        <is>
          <t>RD-506</t>
        </is>
      </c>
      <c r="B33" s="21" t="n">
        <v>46059</v>
      </c>
      <c r="C33" s="14" t="inlineStr">
        <is>
          <t>Karachi</t>
        </is>
      </c>
      <c r="D33" s="14" t="inlineStr">
        <is>
          <t>Sukkur</t>
        </is>
      </c>
      <c r="E33" s="36" t="inlineStr">
        <is>
          <t>Road</t>
        </is>
      </c>
      <c r="F33" s="14" t="inlineStr">
        <is>
          <t>Delayed</t>
        </is>
      </c>
      <c r="G33" s="22" t="n">
        <v>7400</v>
      </c>
      <c r="H33" s="22" t="n">
        <v>83000</v>
      </c>
      <c r="J33" s="25" t="inlineStr"/>
      <c r="K33" s="25" t="inlineStr"/>
      <c r="L33" s="25" t="inlineStr"/>
      <c r="M33" s="25" t="inlineStr"/>
      <c r="N33" s="25" t="inlineStr"/>
      <c r="O33" s="25" t="inlineStr"/>
      <c r="P33" s="25" t="inlineStr"/>
      <c r="Q33" s="25" t="inlineStr"/>
      <c r="R33" s="25" t="inlineStr"/>
      <c r="S33" s="25" t="inlineStr"/>
      <c r="U33" s="48">
        <f>IFERROR(INDEX('T4 DimCity'!$K$6:$K$20,MATCH(K33,'T4 DimCity'!$I$6:$I$20,0)),"?")</f>
        <v/>
      </c>
      <c r="V33" s="48">
        <f>IFERROR(INDEX('T5 Other Dimensions'!$C$45:$C$48,MATCH(N33,'T5 Other Dimensions'!$B$45:$B$48,0)),"?")</f>
        <v/>
      </c>
    </row>
    <row r="34">
      <c r="A34" s="20" t="inlineStr">
        <is>
          <t>RD-507</t>
        </is>
      </c>
      <c r="B34" s="21" t="n">
        <v>46060</v>
      </c>
      <c r="C34" s="14" t="inlineStr">
        <is>
          <t>Lahore</t>
        </is>
      </c>
      <c r="D34" s="14" t="inlineStr">
        <is>
          <t>Sialkot</t>
        </is>
      </c>
      <c r="E34" s="36" t="inlineStr">
        <is>
          <t>Road</t>
        </is>
      </c>
      <c r="F34" s="14" t="inlineStr">
        <is>
          <t>Delivered</t>
        </is>
      </c>
      <c r="G34" s="22" t="n">
        <v>5900</v>
      </c>
      <c r="H34" s="22" t="n">
        <v>39000</v>
      </c>
      <c r="J34" s="25" t="inlineStr"/>
      <c r="K34" s="25" t="inlineStr"/>
      <c r="L34" s="25" t="inlineStr"/>
      <c r="M34" s="25" t="inlineStr"/>
      <c r="N34" s="25" t="inlineStr"/>
      <c r="O34" s="25" t="inlineStr"/>
      <c r="P34" s="25" t="inlineStr"/>
      <c r="Q34" s="25" t="inlineStr"/>
      <c r="R34" s="25" t="inlineStr"/>
      <c r="S34" s="25" t="inlineStr"/>
      <c r="U34" s="48">
        <f>IFERROR(INDEX('T4 DimCity'!$K$6:$K$20,MATCH(K34,'T4 DimCity'!$I$6:$I$20,0)),"?")</f>
        <v/>
      </c>
      <c r="V34" s="48">
        <f>IFERROR(INDEX('T5 Other Dimensions'!$C$45:$C$48,MATCH(N34,'T5 Other Dimensions'!$B$45:$B$48,0)),"?")</f>
        <v/>
      </c>
    </row>
    <row r="35">
      <c r="A35" s="20" t="inlineStr">
        <is>
          <t>RD-508</t>
        </is>
      </c>
      <c r="B35" s="21" t="n">
        <v>46062</v>
      </c>
      <c r="C35" s="14" t="inlineStr">
        <is>
          <t>Quetta</t>
        </is>
      </c>
      <c r="D35" s="14" t="inlineStr">
        <is>
          <t>Karachi</t>
        </is>
      </c>
      <c r="E35" s="36" t="inlineStr">
        <is>
          <t>Road</t>
        </is>
      </c>
      <c r="F35" s="14" t="inlineStr">
        <is>
          <t>In Transit</t>
        </is>
      </c>
      <c r="G35" s="22" t="n">
        <v>6600</v>
      </c>
      <c r="H35" s="22" t="n">
        <v>92000</v>
      </c>
      <c r="J35" s="25" t="inlineStr"/>
      <c r="K35" s="25" t="inlineStr"/>
      <c r="L35" s="25" t="inlineStr"/>
      <c r="M35" s="25" t="inlineStr"/>
      <c r="N35" s="25" t="inlineStr"/>
      <c r="O35" s="25" t="inlineStr"/>
      <c r="P35" s="25" t="inlineStr"/>
      <c r="Q35" s="25" t="inlineStr"/>
      <c r="R35" s="25" t="inlineStr"/>
      <c r="S35" s="25" t="inlineStr"/>
      <c r="U35" s="48">
        <f>IFERROR(INDEX('T4 DimCity'!$K$6:$K$20,MATCH(K35,'T4 DimCity'!$I$6:$I$20,0)),"?")</f>
        <v/>
      </c>
      <c r="V35" s="48">
        <f>IFERROR(INDEX('T5 Other Dimensions'!$C$45:$C$48,MATCH(N35,'T5 Other Dimensions'!$B$45:$B$48,0)),"?")</f>
        <v/>
      </c>
    </row>
    <row r="36">
      <c r="A36" s="20" t="inlineStr">
        <is>
          <t>RD-509</t>
        </is>
      </c>
      <c r="B36" s="21" t="n">
        <v>46063</v>
      </c>
      <c r="C36" s="14" t="inlineStr">
        <is>
          <t>Faisalabad</t>
        </is>
      </c>
      <c r="D36" s="14" t="inlineStr">
        <is>
          <t>Multan</t>
        </is>
      </c>
      <c r="E36" s="36" t="inlineStr">
        <is>
          <t>Road</t>
        </is>
      </c>
      <c r="F36" s="14" t="inlineStr">
        <is>
          <t>Delivered</t>
        </is>
      </c>
      <c r="G36" s="22" t="n">
        <v>6200</v>
      </c>
      <c r="H36" s="22" t="n">
        <v>44000</v>
      </c>
      <c r="J36" s="25" t="inlineStr"/>
      <c r="K36" s="25" t="inlineStr"/>
      <c r="L36" s="25" t="inlineStr"/>
      <c r="M36" s="25" t="inlineStr"/>
      <c r="N36" s="25" t="inlineStr"/>
      <c r="O36" s="25" t="inlineStr"/>
      <c r="P36" s="25" t="inlineStr"/>
      <c r="Q36" s="25" t="inlineStr"/>
      <c r="R36" s="25" t="inlineStr"/>
      <c r="S36" s="25" t="inlineStr"/>
      <c r="U36" s="48">
        <f>IFERROR(INDEX('T4 DimCity'!$K$6:$K$20,MATCH(K36,'T4 DimCity'!$I$6:$I$20,0)),"?")</f>
        <v/>
      </c>
      <c r="V36" s="48">
        <f>IFERROR(INDEX('T5 Other Dimensions'!$C$45:$C$48,MATCH(N36,'T5 Other Dimensions'!$B$45:$B$48,0)),"?")</f>
        <v/>
      </c>
    </row>
    <row r="37">
      <c r="A37" s="20" t="inlineStr">
        <is>
          <t>RD-510</t>
        </is>
      </c>
      <c r="B37" s="21" t="n">
        <v>46064</v>
      </c>
      <c r="C37" s="14" t="inlineStr">
        <is>
          <t>Lahore</t>
        </is>
      </c>
      <c r="D37" s="14" t="inlineStr">
        <is>
          <t>Gujranwala</t>
        </is>
      </c>
      <c r="E37" s="36" t="inlineStr">
        <is>
          <t>Road</t>
        </is>
      </c>
      <c r="F37" s="14" t="inlineStr">
        <is>
          <t>Delivered</t>
        </is>
      </c>
      <c r="G37" s="22" t="n">
        <v>7000</v>
      </c>
      <c r="H37" s="22" t="n">
        <v>27000</v>
      </c>
      <c r="J37" s="25" t="inlineStr"/>
      <c r="K37" s="25" t="inlineStr"/>
      <c r="L37" s="25" t="inlineStr"/>
      <c r="M37" s="25" t="inlineStr"/>
      <c r="N37" s="25" t="inlineStr"/>
      <c r="O37" s="25" t="inlineStr"/>
      <c r="P37" s="25" t="inlineStr"/>
      <c r="Q37" s="25" t="inlineStr"/>
      <c r="R37" s="25" t="inlineStr"/>
      <c r="S37" s="25" t="inlineStr"/>
      <c r="U37" s="48">
        <f>IFERROR(INDEX('T4 DimCity'!$K$6:$K$20,MATCH(K37,'T4 DimCity'!$I$6:$I$20,0)),"?")</f>
        <v/>
      </c>
      <c r="V37" s="48">
        <f>IFERROR(INDEX('T5 Other Dimensions'!$C$45:$C$48,MATCH(N37,'T5 Other Dimensions'!$B$45:$B$48,0)),"?")</f>
        <v/>
      </c>
    </row>
    <row r="38">
      <c r="A38" s="20" t="inlineStr">
        <is>
          <t>RD-511</t>
        </is>
      </c>
      <c r="B38" s="21" t="n">
        <v>46065</v>
      </c>
      <c r="C38" s="14" t="inlineStr">
        <is>
          <t>Karachi</t>
        </is>
      </c>
      <c r="D38" s="14" t="inlineStr">
        <is>
          <t>Hyderabad</t>
        </is>
      </c>
      <c r="E38" s="36" t="inlineStr">
        <is>
          <t>Road</t>
        </is>
      </c>
      <c r="F38" s="14" t="inlineStr">
        <is>
          <t>In Transit</t>
        </is>
      </c>
      <c r="G38" s="22" t="n">
        <v>5500</v>
      </c>
      <c r="H38" s="22" t="n">
        <v>36000</v>
      </c>
      <c r="J38" s="25" t="inlineStr"/>
      <c r="K38" s="25" t="inlineStr"/>
      <c r="L38" s="25" t="inlineStr"/>
      <c r="M38" s="25" t="inlineStr"/>
      <c r="N38" s="25" t="inlineStr"/>
      <c r="O38" s="25" t="inlineStr"/>
      <c r="P38" s="25" t="inlineStr"/>
      <c r="Q38" s="25" t="inlineStr"/>
      <c r="R38" s="25" t="inlineStr"/>
      <c r="S38" s="25" t="inlineStr"/>
      <c r="U38" s="48">
        <f>IFERROR(INDEX('T4 DimCity'!$K$6:$K$20,MATCH(K38,'T4 DimCity'!$I$6:$I$20,0)),"?")</f>
        <v/>
      </c>
      <c r="V38" s="48">
        <f>IFERROR(INDEX('T5 Other Dimensions'!$C$45:$C$48,MATCH(N38,'T5 Other Dimensions'!$B$45:$B$48,0)),"?")</f>
        <v/>
      </c>
    </row>
    <row r="39">
      <c r="A39" s="20" t="inlineStr">
        <is>
          <t>RD-512</t>
        </is>
      </c>
      <c r="B39" s="21" t="n">
        <v>46066</v>
      </c>
      <c r="C39" s="14" t="inlineStr">
        <is>
          <t>Rawalpindi</t>
        </is>
      </c>
      <c r="D39" s="14" t="inlineStr">
        <is>
          <t>Abbottabad</t>
        </is>
      </c>
      <c r="E39" s="36" t="inlineStr">
        <is>
          <t>Road</t>
        </is>
      </c>
      <c r="F39" s="14" t="inlineStr">
        <is>
          <t>Delivered</t>
        </is>
      </c>
      <c r="G39" s="22" t="n">
        <v>5800</v>
      </c>
      <c r="H39" s="22" t="n">
        <v>45000</v>
      </c>
      <c r="J39" s="25" t="inlineStr"/>
      <c r="K39" s="25" t="inlineStr"/>
      <c r="L39" s="25" t="inlineStr"/>
      <c r="M39" s="25" t="inlineStr"/>
      <c r="N39" s="25" t="inlineStr"/>
      <c r="O39" s="25" t="inlineStr"/>
      <c r="P39" s="25" t="inlineStr"/>
      <c r="Q39" s="25" t="inlineStr"/>
      <c r="R39" s="25" t="inlineStr"/>
      <c r="S39" s="25" t="inlineStr"/>
      <c r="U39" s="48">
        <f>IFERROR(INDEX('T4 DimCity'!$K$6:$K$20,MATCH(K39,'T4 DimCity'!$I$6:$I$20,0)),"?")</f>
        <v/>
      </c>
      <c r="V39" s="48">
        <f>IFERROR(INDEX('T5 Other Dimensions'!$C$45:$C$48,MATCH(N39,'T5 Other Dimensions'!$B$45:$B$48,0)),"?")</f>
        <v/>
      </c>
    </row>
    <row r="40">
      <c r="P40" s="11" t="inlineStr">
        <is>
          <t>TOTAL</t>
        </is>
      </c>
      <c r="Q40" s="23">
        <f>SUM(Q6:Q39)</f>
        <v/>
      </c>
      <c r="R40" s="23">
        <f>SUM(R6:R39)</f>
        <v/>
      </c>
      <c r="S40" s="49">
        <f>SUM(S6:S39)</f>
        <v/>
      </c>
    </row>
    <row r="42" ht="26" customHeight="1">
      <c r="A42" s="24" t="inlineStr">
        <is>
          <t>Columns U and V are a scratch pad, NOT part of the fact table. Excel has no relationships, so T7 needs the province and the mode name as text to build a matrix with SUMIFS. In Power BI the relationship does this for you and these two columns must not exist in your .pbix — if they do, you have put descriptive text back into a fact table and undone the whole exercise.</t>
        </is>
      </c>
    </row>
    <row r="44" ht="22" customHeight="1">
      <c r="A44" s="3" t="inlineStr">
        <is>
          <t>THE THREE QUESTIONS THIS TASK IS REALLY ASKING</t>
        </is>
      </c>
    </row>
    <row r="45" ht="26" customHeight="1">
      <c r="A45" s="26" t="inlineStr">
        <is>
          <t>Every lookup above is wrapped in IFERROR(…, -1) instead of being left to fail. Name what that buys you and what it costs you.</t>
        </is>
      </c>
      <c r="J45" s="19" t="inlineStr"/>
    </row>
    <row r="46" ht="26" customHeight="1"/>
    <row r="47" ht="26" customHeight="1">
      <c r="A47" s="26" t="inlineStr">
        <is>
          <t>Columns C to F still hold the text. Why do they not cross the gap into the fact table?</t>
        </is>
      </c>
      <c r="J47" s="19" t="inlineStr"/>
    </row>
    <row r="48" ht="26" customHeight="1"/>
    <row r="49" ht="26" customHeight="1">
      <c r="A49" s="26" t="inlineStr">
        <is>
          <t>ShipmentID is in the fact table but joins to nothing. Defend keeping it.</t>
        </is>
      </c>
      <c r="J49" s="19" t="inlineStr"/>
    </row>
    <row r="50" ht="26" customHeight="1"/>
    <row r="52" ht="26" customHeight="1">
      <c r="A52" s="24" t="inlineStr">
        <is>
          <t>Marking, 15 marks: six key columns correct 9 · measures and degenerate key 3 · the three questions 3. A hard-typed key column instead of a lookup scores zero for that column — the point is the join, not the digit.</t>
        </is>
      </c>
    </row>
  </sheetData>
  <mergeCells count="15">
    <mergeCell ref="A2:V2"/>
    <mergeCell ref="A4:H4"/>
    <mergeCell ref="J45:V46"/>
    <mergeCell ref="A52:V52"/>
    <mergeCell ref="A42:V42"/>
    <mergeCell ref="J49:V50"/>
    <mergeCell ref="A44:V44"/>
    <mergeCell ref="A47:H48"/>
    <mergeCell ref="A1:V1"/>
    <mergeCell ref="A45:H46"/>
    <mergeCell ref="J4:S4"/>
    <mergeCell ref="A49:H50"/>
    <mergeCell ref="J47:V48"/>
    <mergeCell ref="A3:V3"/>
    <mergeCell ref="U4:V4"/>
  </mergeCells>
  <pageMargins left="0.75" right="0.75" top="1" bottom="1" header="0.5" footer="0.5"/>
</worksheet>
</file>

<file path=xl/worksheets/sheet9.xml><?xml version="1.0" encoding="utf-8"?>
<worksheet xmlns="http://schemas.openxmlformats.org/spreadsheetml/2006/main">
  <sheetPr>
    <tabColor rgb="0000704F"/>
    <outlinePr summaryBelow="1" summaryRight="1"/>
    <pageSetUpPr/>
  </sheetPr>
  <dimension ref="A1:F38"/>
  <sheetViews>
    <sheetView showGridLines="0" workbookViewId="0">
      <pane ySplit="4" topLeftCell="A5" activePane="bottomLeft" state="frozen"/>
      <selection pane="bottomLeft" activeCell="A1" sqref="A1"/>
    </sheetView>
  </sheetViews>
  <sheetFormatPr baseColWidth="8" defaultRowHeight="15"/>
  <cols>
    <col width="5" customWidth="1" min="1" max="1"/>
    <col width="40" customWidth="1" min="2" max="2"/>
    <col width="16" customWidth="1" min="3" max="3"/>
    <col width="16" customWidth="1" min="4" max="4"/>
    <col width="11" customWidth="1" min="5" max="5"/>
    <col width="70" customWidth="1" min="6" max="6"/>
    <col width="3" customWidth="1" min="7" max="7"/>
  </cols>
  <sheetData>
    <row r="1" ht="30" customHeight="1">
      <c r="A1" s="1" t="inlineStr">
        <is>
          <t>T7  ·  Reconcile  —  Thirteen Checks, All Thirteen Must Pass</t>
        </is>
      </c>
    </row>
    <row r="2" ht="30" customHeight="1">
      <c r="A2" s="2" t="inlineStr">
        <is>
          <t>The reshaping must not change a single kilogram. Reconciliation is not a formality: it is the last moment at which you can still find the mistake cheaply.</t>
        </is>
      </c>
    </row>
    <row r="4" ht="30" customHeight="1">
      <c r="A4" s="6" t="inlineStr">
        <is>
          <t>#</t>
        </is>
      </c>
      <c r="B4" s="6" t="inlineStr">
        <is>
          <t>Check</t>
        </is>
      </c>
      <c r="C4" s="6" t="inlineStr">
        <is>
          <t>Expected</t>
        </is>
      </c>
      <c r="D4" s="6" t="inlineStr">
        <is>
          <t>Your result</t>
        </is>
      </c>
      <c r="E4" s="6" t="inlineStr">
        <is>
          <t>Pass?</t>
        </is>
      </c>
      <c r="F4" s="6" t="inlineStr">
        <is>
          <t>If it does not match, look here first</t>
        </is>
      </c>
    </row>
    <row r="5" ht="30" customHeight="1">
      <c r="A5" s="9" t="n">
        <v>1</v>
      </c>
      <c r="B5" s="8" t="inlineStr">
        <is>
          <t>Row count of FactShipment</t>
        </is>
      </c>
      <c r="C5" s="50" t="n">
        <v>34</v>
      </c>
      <c r="D5" s="51">
        <f>COUNT('T6 FactShipment'!$J$6:$J$39)</f>
        <v/>
      </c>
      <c r="E5" s="9">
        <f>IF(D5=C5,"✔ pass","✘ fix")</f>
        <v/>
      </c>
      <c r="F5" s="10" t="inlineStr">
        <is>
          <t>You dropped rows in a lookup, or you duplicated one to fit a dimension. A changed row count means the grain moved.</t>
        </is>
      </c>
    </row>
    <row r="6" ht="30" customHeight="1">
      <c r="A6" s="9" t="n">
        <v>2</v>
      </c>
      <c r="B6" s="8" t="inlineStr">
        <is>
          <t>Grand total, WeightKG</t>
        </is>
      </c>
      <c r="C6" s="50" t="n">
        <v>578650</v>
      </c>
      <c r="D6" s="51">
        <f>SUM('T6 FactShipment'!$Q$6:$Q$39)</f>
        <v/>
      </c>
      <c r="E6" s="9">
        <f>IF(D6=C6,"✔ pass","✘ fix")</f>
        <v/>
      </c>
      <c r="F6" s="10" t="inlineStr">
        <is>
          <t>Rail is still in tonnes (a factor of 1,000 missing), or the rd-505 duplicate came back, or the Road TOTAL row survived staging.</t>
        </is>
      </c>
    </row>
    <row r="7" ht="30" customHeight="1">
      <c r="A7" s="9" t="n">
        <v>3</v>
      </c>
      <c r="B7" s="8" t="inlineStr">
        <is>
          <t>Grand total, FreightCostPKR</t>
        </is>
      </c>
      <c r="C7" s="50" t="n">
        <v>4808000</v>
      </c>
      <c r="D7" s="51">
        <f>SUM('T6 FactShipment'!$R$6:$R$39)</f>
        <v/>
      </c>
      <c r="E7" s="9">
        <f>IF(D7=C7,"✔ pass","✘ fix")</f>
        <v/>
      </c>
      <c r="F7" s="10" t="inlineStr">
        <is>
          <t>Same causes as the weight check. Costs are additive currency — there is no rounding excuse.</t>
        </is>
      </c>
    </row>
    <row r="8" ht="30" customHeight="1">
      <c r="A8" s="9" t="n">
        <v>4</v>
      </c>
      <c r="B8" s="8" t="inlineStr">
        <is>
          <t>Shipment legs (SUM of Count)</t>
        </is>
      </c>
      <c r="C8" s="50" t="n">
        <v>34</v>
      </c>
      <c r="D8" s="51">
        <f>SUM('T6 FactShipment'!$S$6:$S$39)</f>
        <v/>
      </c>
      <c r="E8" s="9">
        <f>IF(D8=C8,"✔ pass","✘ fix")</f>
        <v/>
      </c>
      <c r="F8" s="10" t="inlineStr">
        <is>
          <t>A measure problem, not a data problem — check that ShipmentCount is 1 on every row, including the last one.</t>
        </is>
      </c>
    </row>
    <row r="9" ht="30" customHeight="1">
      <c r="A9" s="9" t="n">
        <v>5</v>
      </c>
      <c r="B9" s="8" t="inlineStr">
        <is>
          <t>Distinct ShipmentID values</t>
        </is>
      </c>
      <c r="C9" s="50" t="n">
        <v>34</v>
      </c>
      <c r="D9" s="51">
        <f>SUMPRODUCT(('T6 FactShipment'!$P$6:$P$39&lt;&gt;"")/COUNTIF('T6 FactShipment'!$P$6:$P$39,'T6 FactShipment'!$P$6:$P$39&amp;""))</f>
        <v/>
      </c>
      <c r="E9" s="9">
        <f>IF(D9=C9,"✔ pass","✘ fix")</f>
        <v/>
      </c>
      <c r="F9" s="10" t="inlineStr">
        <is>
          <t>Equal to the leg count here because no consignment was split. The day they differ, the grain sentence has to say which one a row is.</t>
        </is>
      </c>
    </row>
    <row r="10" ht="30" customHeight="1">
      <c r="A10" s="9" t="n">
        <v>6</v>
      </c>
      <c r="B10" s="8" t="inlineStr">
        <is>
          <t>Rows in DimCity (excluding Unknown)</t>
        </is>
      </c>
      <c r="C10" s="50" t="n">
        <v>14</v>
      </c>
      <c r="D10" s="51">
        <f>COUNTIF('T4 DimCity'!$I$6:$I$20,"&gt;0")</f>
        <v/>
      </c>
      <c r="E10" s="9">
        <f>IF(D10=C10,"✔ pass","✘ fix")</f>
        <v/>
      </c>
      <c r="F10" s="10" t="inlineStr">
        <is>
          <t>Your conforming map is incomplete — you still have 23, or some number in between.</t>
        </is>
      </c>
    </row>
    <row r="11" ht="30" customHeight="1">
      <c r="A11" s="9" t="n">
        <v>7</v>
      </c>
      <c r="B11" s="8" t="inlineStr">
        <is>
          <t>Rows in DimRoute (excluding Unknown)</t>
        </is>
      </c>
      <c r="C11" s="50" t="n">
        <v>20</v>
      </c>
      <c r="D11" s="51">
        <f>COUNTIF('T5 Other Dimensions'!$B$10:$B$30,"&gt;0")</f>
        <v/>
      </c>
      <c r="E11" s="9">
        <f>IF(D11=C11,"✔ pass","✘ fix")</f>
        <v/>
      </c>
      <c r="F11" s="10" t="inlineStr">
        <is>
          <t>30 means you deduplicated the raw strings instead of the conformed city keys. Go back to T5 Block A.</t>
        </is>
      </c>
    </row>
    <row r="12" ht="30" customHeight="1">
      <c r="A12" s="9" t="n">
        <v>8</v>
      </c>
      <c r="B12" s="8" t="inlineStr">
        <is>
          <t>Rows in DimDate</t>
        </is>
      </c>
      <c r="C12" s="50" t="n">
        <v>28</v>
      </c>
      <c r="D12" s="51">
        <f>COUNTA('T5 Other Dimensions'!$C$53:$C$80)</f>
        <v/>
      </c>
      <c r="E12" s="9">
        <f>IF(D12=C12,"✔ pass","✘ fix")</f>
        <v/>
      </c>
      <c r="F12" s="10" t="inlineStr">
        <is>
          <t>12 means you generated only the dates that appear in the fact table. A date dimension with holes breaks every time-intelligence function.</t>
        </is>
      </c>
    </row>
    <row r="13" ht="30" customHeight="1">
      <c r="A13" s="9" t="n">
        <v>9</v>
      </c>
      <c r="B13" s="8" t="inlineStr">
        <is>
          <t>WeightKG for Sindh / Marine</t>
        </is>
      </c>
      <c r="C13" s="50" t="n">
        <v>169000</v>
      </c>
      <c r="D13" s="51">
        <f>SUMIFS('T6 FactShipment'!$Q$6:$Q$39,'T6 FactShipment'!$U$6:$U$39,"Sindh",'T6 FactShipment'!$V$6:$V$39,"Marine")</f>
        <v/>
      </c>
      <c r="E13" s="9">
        <f>IF(D13=C13,"✔ pass","✘ fix")</f>
        <v/>
      </c>
      <c r="F13" s="10" t="inlineStr">
        <is>
          <t>If you got 206,500 you mapped Gwadar Port to Karachi. Gwadar is in Balochistan, and it is the one conforming decision students get wrong most often.</t>
        </is>
      </c>
    </row>
    <row r="14" ht="30" customHeight="1">
      <c r="A14" s="9" t="n">
        <v>10</v>
      </c>
      <c r="B14" s="8" t="inlineStr">
        <is>
          <t>WeightKG for Punjab / Road</t>
        </is>
      </c>
      <c r="C14" s="50" t="n">
        <v>44100</v>
      </c>
      <c r="D14" s="51">
        <f>SUMIFS('T6 FactShipment'!$Q$6:$Q$39,'T6 FactShipment'!$U$6:$U$39,"Punjab",'T6 FactShipment'!$V$6:$V$39,"Road")</f>
        <v/>
      </c>
      <c r="E14" s="9">
        <f>IF(D14=C14,"✔ pass","✘ fix")</f>
        <v/>
      </c>
      <c r="F14" s="10" t="inlineStr">
        <is>
          <t>Check that Lahore, Faisalabad, Multan, Sialkot, Gujranwala and Rawalpindi all map to Punjab — and that Islamabad does NOT.</t>
        </is>
      </c>
    </row>
    <row r="15" ht="30" customHeight="1">
      <c r="A15" s="9" t="n">
        <v>11</v>
      </c>
      <c r="B15" s="8" t="inlineStr">
        <is>
          <t>WeightKG for Sindh, all modes</t>
        </is>
      </c>
      <c r="C15" s="50" t="n">
        <v>484350</v>
      </c>
      <c r="D15" s="51">
        <f>SUMIFS('T6 FactShipment'!$Q$6:$Q$39,'T6 FactShipment'!$U$6:$U$39,"Sindh")</f>
        <v/>
      </c>
      <c r="E15" s="9">
        <f>IF(D15=C15,"✔ pass","✘ fix")</f>
        <v/>
      </c>
      <c r="F15" s="10" t="inlineStr">
        <is>
          <t>83.7% of everything PakFreight moved. If it is lower, some Karachi alias is still its own city.</t>
        </is>
      </c>
    </row>
    <row r="16" ht="30" customHeight="1">
      <c r="A16" s="9" t="n">
        <v>12</v>
      </c>
      <c r="B16" s="8" t="inlineStr">
        <is>
          <t>Fact rows pointing at an Unknown key (-1)</t>
        </is>
      </c>
      <c r="C16" s="50" t="n">
        <v>0</v>
      </c>
      <c r="D16" s="51">
        <f>COUNTIF('T6 FactShipment'!$K$6:$K$39,-1)+COUNTIF('T6 FactShipment'!$L$6:$L$39,-1)+COUNTIF('T6 FactShipment'!$M$6:$M$39,-1)+COUNTIF('T6 FactShipment'!$N$6:$N$39,-1)+COUNTIF('T6 FactShipment'!$O$6:$O$39,-1)</f>
        <v/>
      </c>
      <c r="E16" s="9">
        <f>IF(D16=C16,"✔ pass","✘ fix")</f>
        <v/>
      </c>
      <c r="F16" s="10" t="inlineStr">
        <is>
          <t>A lookup failed and IFERROR caught it. Which column, and which row? The -1 row exists so this is a number you can read, not a row you lost.</t>
        </is>
      </c>
    </row>
    <row r="17" ht="30" customHeight="1">
      <c r="A17" s="9" t="n">
        <v>13</v>
      </c>
      <c r="B17" s="8" t="inlineStr">
        <is>
          <t>Cost per KG, grand total</t>
        </is>
      </c>
      <c r="C17" s="52" t="n">
        <v>8.31</v>
      </c>
      <c r="D17" s="53">
        <f>SUM('T6 FactShipment'!$R$6:$R$39)/SUM('T6 FactShipment'!$Q$6:$Q$39)</f>
        <v/>
      </c>
      <c r="E17" s="9">
        <f>IF(ABS(D17-C17)&lt;=0.005,"✔ pass","✘ fix")</f>
        <v/>
      </c>
      <c r="F17" s="10" t="inlineStr">
        <is>
          <t>8.06 means you averaged a ratio instead of dividing two sums. See T3 — this is the same 3% error, now wearing a dashboard.</t>
        </is>
      </c>
    </row>
    <row r="19">
      <c r="B19" s="54" t="inlineStr">
        <is>
          <t>CHECKS PASSING</t>
        </is>
      </c>
      <c r="C19" s="55">
        <f>COUNTIF(E5:E17,"✔*")&amp;" / 13"</f>
        <v/>
      </c>
      <c r="D19" s="55">
        <f>IF(COUNTIF(E5:E17,"✔*")=13,"✔ SUBMIT","✘ NOT YET")</f>
        <v/>
      </c>
      <c r="F19" s="10" t="inlineStr">
        <is>
          <t>Submitting with a single red cell loses all 8 marks for this task. Thirteen out of thirteen, or it is not done.</t>
        </is>
      </c>
    </row>
    <row r="21" ht="22" customHeight="1">
      <c r="A21" s="3" t="inlineStr">
        <is>
          <t>THE DELIVERABLE MATRIX  ·  TONNAGE BY ORIGIN PROVINCE AND MODE</t>
        </is>
      </c>
    </row>
    <row r="22">
      <c r="A22" s="33" t="inlineStr">
        <is>
          <t>Build this in Power BI too: Province on rows, Mode on columns, Total Weight KG in values. The grand total must read 578,650 kg exactly.</t>
        </is>
      </c>
    </row>
    <row r="23" ht="30" customHeight="1">
      <c r="A23" s="6" t="inlineStr"/>
      <c r="B23" s="6" t="inlineStr">
        <is>
          <t>Origin province</t>
        </is>
      </c>
      <c r="C23" s="6" t="inlineStr">
        <is>
          <t>Marine</t>
        </is>
      </c>
      <c r="D23" s="6" t="inlineStr">
        <is>
          <t>Rail</t>
        </is>
      </c>
      <c r="E23" s="6" t="inlineStr">
        <is>
          <t>Road</t>
        </is>
      </c>
      <c r="F23" s="6" t="inlineStr">
        <is>
          <t>Total</t>
        </is>
      </c>
    </row>
    <row r="24">
      <c r="B24" s="8" t="inlineStr">
        <is>
          <t>Sindh</t>
        </is>
      </c>
      <c r="C24" s="51">
        <f>SUMIFS('T6 FactShipment'!$Q$6:$Q$39,'T6 FactShipment'!$U$6:$U$39,$B24,'T6 FactShipment'!$V$6:$V$39,"Marine")</f>
        <v/>
      </c>
      <c r="D24" s="51">
        <f>SUMIFS('T6 FactShipment'!$Q$6:$Q$39,'T6 FactShipment'!$U$6:$U$39,$B24,'T6 FactShipment'!$V$6:$V$39,"Rail")</f>
        <v/>
      </c>
      <c r="E24" s="51">
        <f>SUMIFS('T6 FactShipment'!$Q$6:$Q$39,'T6 FactShipment'!$U$6:$U$39,$B24,'T6 FactShipment'!$V$6:$V$39,"Road")</f>
        <v/>
      </c>
      <c r="F24" s="50">
        <f>SUM(C24:E24)</f>
        <v/>
      </c>
    </row>
    <row r="25">
      <c r="B25" s="8" t="inlineStr">
        <is>
          <t>Punjab</t>
        </is>
      </c>
      <c r="C25" s="51">
        <f>SUMIFS('T6 FactShipment'!$Q$6:$Q$39,'T6 FactShipment'!$U$6:$U$39,$B25,'T6 FactShipment'!$V$6:$V$39,"Marine")</f>
        <v/>
      </c>
      <c r="D25" s="51">
        <f>SUMIFS('T6 FactShipment'!$Q$6:$Q$39,'T6 FactShipment'!$U$6:$U$39,$B25,'T6 FactShipment'!$V$6:$V$39,"Rail")</f>
        <v/>
      </c>
      <c r="E25" s="51">
        <f>SUMIFS('T6 FactShipment'!$Q$6:$Q$39,'T6 FactShipment'!$U$6:$U$39,$B25,'T6 FactShipment'!$V$6:$V$39,"Road")</f>
        <v/>
      </c>
      <c r="F25" s="50">
        <f>SUM(C25:E25)</f>
        <v/>
      </c>
    </row>
    <row r="26">
      <c r="B26" s="8" t="inlineStr">
        <is>
          <t>Balochistan</t>
        </is>
      </c>
      <c r="C26" s="51">
        <f>SUMIFS('T6 FactShipment'!$Q$6:$Q$39,'T6 FactShipment'!$U$6:$U$39,$B26,'T6 FactShipment'!$V$6:$V$39,"Marine")</f>
        <v/>
      </c>
      <c r="D26" s="51">
        <f>SUMIFS('T6 FactShipment'!$Q$6:$Q$39,'T6 FactShipment'!$U$6:$U$39,$B26,'T6 FactShipment'!$V$6:$V$39,"Rail")</f>
        <v/>
      </c>
      <c r="E26" s="51">
        <f>SUMIFS('T6 FactShipment'!$Q$6:$Q$39,'T6 FactShipment'!$U$6:$U$39,$B26,'T6 FactShipment'!$V$6:$V$39,"Road")</f>
        <v/>
      </c>
      <c r="F26" s="50">
        <f>SUM(C26:E26)</f>
        <v/>
      </c>
    </row>
    <row r="27">
      <c r="B27" s="8" t="inlineStr">
        <is>
          <t>Khyber Pakhtunkhwa</t>
        </is>
      </c>
      <c r="C27" s="51">
        <f>SUMIFS('T6 FactShipment'!$Q$6:$Q$39,'T6 FactShipment'!$U$6:$U$39,$B27,'T6 FactShipment'!$V$6:$V$39,"Marine")</f>
        <v/>
      </c>
      <c r="D27" s="51">
        <f>SUMIFS('T6 FactShipment'!$Q$6:$Q$39,'T6 FactShipment'!$U$6:$U$39,$B27,'T6 FactShipment'!$V$6:$V$39,"Rail")</f>
        <v/>
      </c>
      <c r="E27" s="51">
        <f>SUMIFS('T6 FactShipment'!$Q$6:$Q$39,'T6 FactShipment'!$U$6:$U$39,$B27,'T6 FactShipment'!$V$6:$V$39,"Road")</f>
        <v/>
      </c>
      <c r="F27" s="50">
        <f>SUM(C27:E27)</f>
        <v/>
      </c>
    </row>
    <row r="28">
      <c r="B28" s="8" t="inlineStr">
        <is>
          <t>Islamabad ICT</t>
        </is>
      </c>
      <c r="C28" s="51">
        <f>SUMIFS('T6 FactShipment'!$Q$6:$Q$39,'T6 FactShipment'!$U$6:$U$39,$B28,'T6 FactShipment'!$V$6:$V$39,"Marine")</f>
        <v/>
      </c>
      <c r="D28" s="51">
        <f>SUMIFS('T6 FactShipment'!$Q$6:$Q$39,'T6 FactShipment'!$U$6:$U$39,$B28,'T6 FactShipment'!$V$6:$V$39,"Rail")</f>
        <v/>
      </c>
      <c r="E28" s="51">
        <f>SUMIFS('T6 FactShipment'!$Q$6:$Q$39,'T6 FactShipment'!$U$6:$U$39,$B28,'T6 FactShipment'!$V$6:$V$39,"Road")</f>
        <v/>
      </c>
      <c r="F28" s="50">
        <f>SUM(C28:E28)</f>
        <v/>
      </c>
    </row>
    <row r="29">
      <c r="B29" s="11" t="inlineStr">
        <is>
          <t>Grand total</t>
        </is>
      </c>
      <c r="C29" s="50">
        <f>SUM(C24:C28)</f>
        <v/>
      </c>
      <c r="D29" s="50">
        <f>SUM(D24:D28)</f>
        <v/>
      </c>
      <c r="E29" s="50">
        <f>SUM(E24:E28)</f>
        <v/>
      </c>
      <c r="F29" s="50">
        <f>SUM(F24:F28)</f>
        <v/>
      </c>
    </row>
    <row r="30">
      <c r="B30" s="56" t="inlineStr">
        <is>
          <t>Reconciles to 578,650?</t>
        </is>
      </c>
      <c r="F30" s="9">
        <f>IF(F29=578650,"✔ pass","✘ fix")</f>
        <v/>
      </c>
    </row>
    <row r="31" ht="26" customHeight="1">
      <c r="A31" s="24" t="inlineStr">
        <is>
          <t>Read the Khyber Pakhtunkhwa row: zero. PakFreight moved 61,900 kg INTO Peshawar and Abbottabad in February and nothing out of them, and this matrix is built on OriginCityKey. The number is correct, and the conclusion a reader draws from it — 'KP is not part of our network' — is false. A role-playing dimension is exactly this: the same DimCity answers two different questions, and the active relationship silently decides which one you asked. Rebuild the matrix on DestCityKey and KP reads 61,900 kg. In Power BI that is the USERELATIONSHIP bonus on slide 47.</t>
        </is>
      </c>
    </row>
    <row r="33" ht="22" customHeight="1">
      <c r="A33" s="3" t="inlineStr">
        <is>
          <t>THE LAST QUESTION  ·  WRITE IT BEFORE YOU SUBMIT</t>
        </is>
      </c>
    </row>
    <row r="34" ht="24" customHeight="1">
      <c r="A34" s="26" t="inlineStr">
        <is>
          <t>Every one of the thirteen checks above passes and your matrix totals 578,650 kg. In two or three lines: name one thing that could still be wrong with this model that no check on this sheet would ever catch.</t>
        </is>
      </c>
      <c r="C34" s="19" t="inlineStr"/>
    </row>
    <row r="35" ht="24" customHeight="1"/>
    <row r="36" ht="24" customHeight="1"/>
    <row r="38" ht="26" customHeight="1">
      <c r="A38" s="24" t="inlineStr">
        <is>
          <t>Marking, 8 marks: thirteen checks passing 5 (all or nothing) · the matrix 1 · the last question 2.</t>
        </is>
      </c>
    </row>
  </sheetData>
  <mergeCells count="10">
    <mergeCell ref="A38:F38"/>
    <mergeCell ref="A2:F2"/>
    <mergeCell ref="A33:F33"/>
    <mergeCell ref="A34:B36"/>
    <mergeCell ref="A1:F1"/>
    <mergeCell ref="A31:F31"/>
    <mergeCell ref="C34:F36"/>
    <mergeCell ref="A22:F22"/>
    <mergeCell ref="F19"/>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2026-10-10T02:25:05Z</dcterms:created>
  <dcterms:modified xmlns:dcterms="http://purl.org/dc/terms/" xmlns:xsi="http://www.w3.org/2001/XMLSchema-instance" xsi:type="dcterms:W3CDTF">2026-10-10T02:25:05Z</dcterms:modified>
</cp:coreProperties>
</file>
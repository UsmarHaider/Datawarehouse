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rine_Raw" sheetId="2" state="visible" r:id="rId4"/>
    <sheet name="Rail_Raw" sheetId="3" state="visible" r:id="rId5"/>
    <sheet name="Road_Raw" sheetId="4" state="visible" r:id="rId6"/>
    <sheet name="T1 Detective" sheetId="5" state="visible" r:id="rId7"/>
    <sheet name="T2 Stovepipes" sheetId="6" state="visible" r:id="rId8"/>
    <sheet name="T3a Marine_Stg" sheetId="7" state="visible" r:id="rId9"/>
    <sheet name="T3b Rail_Stg" sheetId="8" state="visible" r:id="rId10"/>
    <sheet name="T3c Road_Stg" sheetId="9" state="visible" r:id="rId11"/>
    <sheet name="T4 Reconcile" sheetId="10" state="visible" r:id="rId12"/>
    <sheet name="T5 Lineage" sheetId="11" state="visible" r:id="rId13"/>
    <sheet name="T6 Bus Matrix" sheetId="12" state="visible" r:id="rId14"/>
    <sheet name="T7 Inmon or Kimbal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Hard-coded: the official total from the lab files (slides 17 &amp; 39). Task 4 proves it.</t>
        </r>
      </text>
    </comment>
  </commentList>
</comments>
</file>

<file path=xl/sharedStrings.xml><?xml version="1.0" encoding="utf-8"?>
<sst xmlns="http://schemas.openxmlformats.org/spreadsheetml/2006/main" count="636" uniqueCount="332">
  <si>
    <t xml:space="preserve">PakFreight Data Detective — Week 2 Activity</t>
  </si>
  <si>
    <t xml:space="preserve">Data Warehousing &amp; BI · Week 2 — DW Lifecycle &amp; Architecture. PakFreight has three shipment systems (Marine, Rail, Road). Every department reports a different total tonnage. Your team will find out why, fix it in a staging area, and prove the one true number.</t>
  </si>
  <si>
    <t xml:space="preserve">How to work</t>
  </si>
  <si>
    <t xml:space="preserve">•</t>
  </si>
  <si>
    <t xml:space="preserve">Work in teams of 3. Name one person each: Operations, Finance, Sales (needed in Task 2).</t>
  </si>
  <si>
    <t xml:space="preserve">Do the tasks in order — each tab is named T1, T2 … The minutes are a guide; your teacher will call time.</t>
  </si>
  <si>
    <t xml:space="preserve">Only type in YELLOW cells. GREY cells are raw data as received — never edit them (that is the point of staging!).</t>
  </si>
  <si>
    <t xml:space="preserve">Task 4 checks your work automatically: every ✘ means something in Task 3 is still wrong.</t>
  </si>
  <si>
    <t xml:space="preserve">Task 8 (draw Inmon vs Kimball) is done on paper — see the slide 'Your Turn: Draw Both Architectures'.</t>
  </si>
  <si>
    <t xml:space="preserve">Save the file as Team_&lt;number&gt;.xlsx and submit it with a photo of your drawing.</t>
  </si>
  <si>
    <t xml:space="preserve">Plan</t>
  </si>
  <si>
    <t xml:space="preserve">#</t>
  </si>
  <si>
    <t xml:space="preserve">Task</t>
  </si>
  <si>
    <t xml:space="preserve">Tab</t>
  </si>
  <si>
    <t xml:space="preserve">60-min class</t>
  </si>
  <si>
    <t xml:space="preserve">45-min class</t>
  </si>
  <si>
    <t xml:space="preserve">Concept from the slides</t>
  </si>
  <si>
    <t xml:space="preserve">0</t>
  </si>
  <si>
    <t xml:space="preserve">Teacher intro: the '3 different totals' problem</t>
  </si>
  <si>
    <t xml:space="preserve">—</t>
  </si>
  <si>
    <t xml:space="preserve">Slide 17 stovepipes</t>
  </si>
  <si>
    <t xml:space="preserve">1</t>
  </si>
  <si>
    <t xml:space="preserve">Data Detective — log every problem in the raw files</t>
  </si>
  <si>
    <t xml:space="preserve">T1 Detective</t>
  </si>
  <si>
    <t xml:space="preserve">Staging: profile before load</t>
  </si>
  <si>
    <t xml:space="preserve">2</t>
  </si>
  <si>
    <t xml:space="preserve">Stovepipe Game — each department computes its own total</t>
  </si>
  <si>
    <t xml:space="preserve">T2 Stovepipes</t>
  </si>
  <si>
    <t xml:space="preserve">Independent vs dependent marts</t>
  </si>
  <si>
    <t xml:space="preserve">3</t>
  </si>
  <si>
    <t xml:space="preserve">Clean the 3 files in staging with formulas</t>
  </si>
  <si>
    <t xml:space="preserve">T3a / T3b / T3c</t>
  </si>
  <si>
    <t xml:space="preserve">Staging transformations</t>
  </si>
  <si>
    <t xml:space="preserve">4</t>
  </si>
  <si>
    <t xml:space="preserve">Reconcile — prove 34 rows and 578,650 kg</t>
  </si>
  <si>
    <t xml:space="preserve">T4 Reconcile</t>
  </si>
  <si>
    <t xml:space="preserve">Validate before you trust</t>
  </si>
  <si>
    <t xml:space="preserve">5</t>
  </si>
  <si>
    <t xml:space="preserve">Trace the lineage of one number</t>
  </si>
  <si>
    <t xml:space="preserve">T5 Lineage</t>
  </si>
  <si>
    <t xml:space="preserve">Lineage (slide 29) — homework in 45-min version</t>
  </si>
  <si>
    <t xml:space="preserve">6</t>
  </si>
  <si>
    <t xml:space="preserve">Kimball Bus Matrix</t>
  </si>
  <si>
    <t xml:space="preserve">T6 Bus Matrix</t>
  </si>
  <si>
    <t xml:space="preserve">Conformed dimensions</t>
  </si>
  <si>
    <t xml:space="preserve">7</t>
  </si>
  <si>
    <t xml:space="preserve">Inmon or Kimball? — 10 scenarios</t>
  </si>
  <si>
    <t xml:space="preserve">T7 Inmon or Kimball</t>
  </si>
  <si>
    <t xml:space="preserve">Top-down vs bottom-up</t>
  </si>
  <si>
    <t xml:space="preserve">8</t>
  </si>
  <si>
    <t xml:space="preserve">Draw both architectures (paper)</t>
  </si>
  <si>
    <t xml:space="preserve">Slide 20c</t>
  </si>
  <si>
    <t xml:space="preserve">Inmon CIF vs Kimball bus</t>
  </si>
  <si>
    <t xml:space="preserve">Total minutes</t>
  </si>
  <si>
    <t xml:space="preserve">Colour legend</t>
  </si>
  <si>
    <t xml:space="preserve">You type here</t>
  </si>
  <si>
    <t xml:space="preserve">Raw data — do not edit</t>
  </si>
  <si>
    <t xml:space="preserve">✔ check passed</t>
  </si>
  <si>
    <t xml:space="preserve">✘ check failed — go back and fix</t>
  </si>
  <si>
    <t xml:space="preserve">The data contract (target schema)</t>
  </si>
  <si>
    <t xml:space="preserve">Column</t>
  </si>
  <si>
    <t xml:space="preserve">Type</t>
  </si>
  <si>
    <t xml:space="preserve">Rule</t>
  </si>
  <si>
    <t xml:space="preserve">Example</t>
  </si>
  <si>
    <t xml:space="preserve">ShipmentID</t>
  </si>
  <si>
    <t xml:space="preserve">Text</t>
  </si>
  <si>
    <t xml:space="preserve">Not blank · unique · prefix MR- / RL- / RD-</t>
  </si>
  <si>
    <t xml:space="preserve">RL-45012</t>
  </si>
  <si>
    <t xml:space="preserve">ShipDate</t>
  </si>
  <si>
    <t xml:space="preserve">Date</t>
  </si>
  <si>
    <t xml:space="preserve">Real date (dd-mmm-yyyy)</t>
  </si>
  <si>
    <t xml:space="preserve">03-Feb-2026</t>
  </si>
  <si>
    <t xml:space="preserve">Origin</t>
  </si>
  <si>
    <t xml:space="preserve">Destination</t>
  </si>
  <si>
    <t xml:space="preserve">WeightKG</t>
  </si>
  <si>
    <t xml:space="preserve">Number</t>
  </si>
  <si>
    <t xml:space="preserve">&gt; 0 · kilograms only</t>
  </si>
  <si>
    <t xml:space="preserve">32,500</t>
  </si>
  <si>
    <t xml:space="preserve">CostPKR</t>
  </si>
  <si>
    <t xml:space="preserve">&gt; 0</t>
  </si>
  <si>
    <t xml:space="preserve">285,000</t>
  </si>
  <si>
    <t xml:space="preserve">Status</t>
  </si>
  <si>
    <t xml:space="preserve">Exactly one of: Delivered · In Transit · Delayed</t>
  </si>
  <si>
    <t xml:space="preserve">Delivered</t>
  </si>
  <si>
    <t xml:space="preserve">SourceSystem</t>
  </si>
  <si>
    <t xml:space="preserve">Marine · Rail · Road (audit column)</t>
  </si>
  <si>
    <t xml:space="preserve">Rail</t>
  </si>
  <si>
    <t xml:space="preserve">Shipment_ID</t>
  </si>
  <si>
    <t xml:space="preserve">Ship_Date</t>
  </si>
  <si>
    <t xml:space="preserve">Origin_Port</t>
  </si>
  <si>
    <t xml:space="preserve">Dest_Port</t>
  </si>
  <si>
    <t xml:space="preserve">Weight_KG</t>
  </si>
  <si>
    <t xml:space="preserve">Cost_PKR</t>
  </si>
  <si>
    <t xml:space="preserve">MR-1001</t>
  </si>
  <si>
    <t xml:space="preserve">01/02/2026</t>
  </si>
  <si>
    <t xml:space="preserve">Karachi Port</t>
  </si>
  <si>
    <t xml:space="preserve">Lahore Dry Port</t>
  </si>
  <si>
    <t xml:space="preserve">DELIVERED</t>
  </si>
  <si>
    <t xml:space="preserve">MR-1002</t>
  </si>
  <si>
    <t xml:space="preserve">02/02/2026</t>
  </si>
  <si>
    <t xml:space="preserve">Port Qasim</t>
  </si>
  <si>
    <t xml:space="preserve">Faisalabad Dry Port</t>
  </si>
  <si>
    <t xml:space="preserve">DELIVERED </t>
  </si>
  <si>
    <t xml:space="preserve">MR-1003</t>
  </si>
  <si>
    <t xml:space="preserve">03/02/2026</t>
  </si>
  <si>
    <t xml:space="preserve">IN TRANSIT</t>
  </si>
  <si>
    <t xml:space="preserve">MR-1004</t>
  </si>
  <si>
    <t xml:space="preserve">04/02/2026</t>
  </si>
  <si>
    <t xml:space="preserve">Gwadar Port</t>
  </si>
  <si>
    <t xml:space="preserve">Quetta</t>
  </si>
  <si>
    <t xml:space="preserve">MR-1005</t>
  </si>
  <si>
    <t xml:space="preserve">05/02/2026</t>
  </si>
  <si>
    <t xml:space="preserve">Multan</t>
  </si>
  <si>
    <t xml:space="preserve"> DELIVERED</t>
  </si>
  <si>
    <t xml:space="preserve">MR-1006</t>
  </si>
  <si>
    <t xml:space="preserve">06/02/2026</t>
  </si>
  <si>
    <t xml:space="preserve">Sialkot Dry Port</t>
  </si>
  <si>
    <t xml:space="preserve">DELAYED</t>
  </si>
  <si>
    <t xml:space="preserve">MR-1007</t>
  </si>
  <si>
    <t xml:space="preserve">07/02/2026</t>
  </si>
  <si>
    <t xml:space="preserve">MR-1008</t>
  </si>
  <si>
    <t xml:space="preserve">09/02/2026</t>
  </si>
  <si>
    <t xml:space="preserve">Peshawar</t>
  </si>
  <si>
    <t xml:space="preserve">IN TRANSIT </t>
  </si>
  <si>
    <t xml:space="preserve">MR-1009</t>
  </si>
  <si>
    <t xml:space="preserve">10/02/2026</t>
  </si>
  <si>
    <t xml:space="preserve">Karachi Cantt</t>
  </si>
  <si>
    <t xml:space="preserve">MR-1010</t>
  </si>
  <si>
    <t xml:space="preserve">11/02/2026</t>
  </si>
  <si>
    <t xml:space="preserve">Islamabad Dry Port</t>
  </si>
  <si>
    <t xml:space="preserve">MR-1011</t>
  </si>
  <si>
    <t xml:space="preserve">12/02/2026</t>
  </si>
  <si>
    <t xml:space="preserve">Hyderabad</t>
  </si>
  <si>
    <t xml:space="preserve">MR-1012</t>
  </si>
  <si>
    <t xml:space="preserve">13/02/2026</t>
  </si>
  <si>
    <t xml:space="preserve">Pakistan Railways Freight — Consignment Register</t>
  </si>
  <si>
    <t xml:space="preserve">Period: February 2026   |   Weights in TONS</t>
  </si>
  <si>
    <t xml:space="preserve">Consignment No</t>
  </si>
  <si>
    <t xml:space="preserve">Dispatch Date</t>
  </si>
  <si>
    <t xml:space="preserve">From Station</t>
  </si>
  <si>
    <t xml:space="preserve">To Station</t>
  </si>
  <si>
    <t xml:space="preserve">Weight (Tons)</t>
  </si>
  <si>
    <t xml:space="preserve">Freight Charges (PKR)</t>
  </si>
  <si>
    <t xml:space="preserve">Lahore</t>
  </si>
  <si>
    <t xml:space="preserve">Rawalpindi</t>
  </si>
  <si>
    <t xml:space="preserve">delivered</t>
  </si>
  <si>
    <t xml:space="preserve">Pipri Marshalling Yard</t>
  </si>
  <si>
    <t xml:space="preserve">Faisalabad</t>
  </si>
  <si>
    <t xml:space="preserve">In transit</t>
  </si>
  <si>
    <t xml:space="preserve"> Delivered</t>
  </si>
  <si>
    <t xml:space="preserve">Peshawar Cantt</t>
  </si>
  <si>
    <t xml:space="preserve">Delivered </t>
  </si>
  <si>
    <t xml:space="preserve">delayed</t>
  </si>
  <si>
    <t xml:space="preserve">Sukkur</t>
  </si>
  <si>
    <t xml:space="preserve">in Transit</t>
  </si>
  <si>
    <t xml:space="preserve">trip_id</t>
  </si>
  <si>
    <t xml:space="preserve">trip_date</t>
  </si>
  <si>
    <t xml:space="preserve">from_city</t>
  </si>
  <si>
    <t xml:space="preserve">to_city</t>
  </si>
  <si>
    <t xml:space="preserve">weight_kg</t>
  </si>
  <si>
    <t xml:space="preserve">cost_pkr</t>
  </si>
  <si>
    <t xml:space="preserve">status</t>
  </si>
  <si>
    <t xml:space="preserve">rd-501</t>
  </si>
  <si>
    <t xml:space="preserve">2026-02-02</t>
  </si>
  <si>
    <t xml:space="preserve">Islamabad</t>
  </si>
  <si>
    <t xml:space="preserve">rd-502</t>
  </si>
  <si>
    <t xml:space="preserve">Karachi</t>
  </si>
  <si>
    <t xml:space="preserve">rd-503</t>
  </si>
  <si>
    <t xml:space="preserve">2026-02-03</t>
  </si>
  <si>
    <t xml:space="preserve">in transit </t>
  </si>
  <si>
    <t xml:space="preserve">rd-504</t>
  </si>
  <si>
    <t xml:space="preserve">2026-02-04</t>
  </si>
  <si>
    <t xml:space="preserve">rd-505</t>
  </si>
  <si>
    <t xml:space="preserve">2026-02-05</t>
  </si>
  <si>
    <t xml:space="preserve">rd-506</t>
  </si>
  <si>
    <t xml:space="preserve">2026-02-06</t>
  </si>
  <si>
    <t xml:space="preserve">rd-507</t>
  </si>
  <si>
    <t xml:space="preserve">2026-02-07</t>
  </si>
  <si>
    <t xml:space="preserve">Sialkot</t>
  </si>
  <si>
    <t xml:space="preserve">rd-508</t>
  </si>
  <si>
    <t xml:space="preserve">2026-02-09</t>
  </si>
  <si>
    <t xml:space="preserve">in transit</t>
  </si>
  <si>
    <t xml:space="preserve">rd-509</t>
  </si>
  <si>
    <t xml:space="preserve">2026-02-10</t>
  </si>
  <si>
    <t xml:space="preserve">delivered </t>
  </si>
  <si>
    <t xml:space="preserve">rd-510</t>
  </si>
  <si>
    <t xml:space="preserve">2026-02-11</t>
  </si>
  <si>
    <t xml:space="preserve">Gujranwala</t>
  </si>
  <si>
    <t xml:space="preserve">rd-511</t>
  </si>
  <si>
    <t xml:space="preserve">2026-02-12</t>
  </si>
  <si>
    <t xml:space="preserve"> in transit</t>
  </si>
  <si>
    <t xml:space="preserve">rd-512</t>
  </si>
  <si>
    <t xml:space="preserve">2026-02-13</t>
  </si>
  <si>
    <t xml:space="preserve">Abbottabad</t>
  </si>
  <si>
    <t xml:space="preserve">TOTAL</t>
  </si>
  <si>
    <t xml:space="preserve">Task 1 · Data Detective (8 min)</t>
  </si>
  <si>
    <t xml:space="preserve">Open Marine_Raw, Rail_Raw and Road_Raw. Find at least 10 problems that would break or silently corrupt a warehouse load. For each one say what would go wrong and in which tier you would fix it (Source / Staging / Storage / Presentation). The first row is an example.</t>
  </si>
  <si>
    <t xml:space="preserve">Source file</t>
  </si>
  <si>
    <t xml:space="preserve">Where (column / row)</t>
  </si>
  <si>
    <t xml:space="preserve">Problem you found</t>
  </si>
  <si>
    <t xml:space="preserve">What goes wrong if loaded as-is?</t>
  </si>
  <si>
    <t xml:space="preserve">Fix in which tier?</t>
  </si>
  <si>
    <t xml:space="preserve">How would you fix it?</t>
  </si>
  <si>
    <t xml:space="preserve">Marine</t>
  </si>
  <si>
    <t xml:space="preserve">Ship_Date (all rows)</t>
  </si>
  <si>
    <t xml:space="preserve">Dates are text in dd/mm/yyyy</t>
  </si>
  <si>
    <t xml:space="preserve">A US-locale tool reads 03/02 as 2 March; 13/02/2026 becomes an error</t>
  </si>
  <si>
    <t xml:space="preserve">Staging</t>
  </si>
  <si>
    <t xml:space="preserve">Convert to a real date using the UK locale</t>
  </si>
  <si>
    <t xml:space="preserve">Issues found:</t>
  </si>
  <si>
    <t xml:space="preserve">Task 2 · The Stovepipe Game (7 min)</t>
  </si>
  <si>
    <t xml:space="preserve">Each team member plays one department that built its OWN mini-warehouse with its OWN rules. Write a formula in the yellow cell that adds up the raw sheets following ONLY your department's rule. Then compare.</t>
  </si>
  <si>
    <t xml:space="preserve">Department</t>
  </si>
  <si>
    <t xml:space="preserve">Their (flawed) rule</t>
  </si>
  <si>
    <t xml:space="preserve">Your formula → total kg</t>
  </si>
  <si>
    <t xml:space="preserve">Tonnes</t>
  </si>
  <si>
    <t xml:space="preserve">Difference from truth (t)</t>
  </si>
  <si>
    <t xml:space="preserve">Hint</t>
  </si>
  <si>
    <t xml:space="preserve">Operations</t>
  </si>
  <si>
    <t xml:space="preserve">Removed the duplicate rd-505 ✔ but forgot to remove the TOTAL row ✘. Rail converted to kg ✔.</t>
  </si>
  <si>
    <t xml:space="preserve">SUM the whole Road column (TOTAL included) then subtract the duplicate row</t>
  </si>
  <si>
    <t xml:space="preserve">Finance</t>
  </si>
  <si>
    <t xml:space="preserve">Cleaned Road correctly ✔ but loaded Rail tonnes as if they were kg ✘.</t>
  </si>
  <si>
    <t xml:space="preserve">Don't multiply Rail by 1000</t>
  </si>
  <si>
    <t xml:space="preserve">Sales</t>
  </si>
  <si>
    <t xml:space="preserve">Removed the TOTAL row ✔ but kept the duplicate trip ✘. Rail converted to kg ✔.</t>
  </si>
  <si>
    <t xml:space="preserve">Road rows 2–14 include the duplicate</t>
  </si>
  <si>
    <t xml:space="preserve">Official truth</t>
  </si>
  <si>
    <t xml:space="preserve">One staging area, one set of rules (dependent / conformed marts)</t>
  </si>
  <si>
    <t xml:space="preserve">Discuss (write one line each)</t>
  </si>
  <si>
    <t xml:space="preserve">Q1. All three teams were honest. Why are their numbers different?</t>
  </si>
  <si>
    <t xml:space="preserve">Q2. Which department's mistake is the most dangerous, and why?</t>
  </si>
  <si>
    <t xml:space="preserve">Q3. What architecture change makes all three report the same number?</t>
  </si>
  <si>
    <t xml:space="preserve">Q4. Which role should decide the official definition (e.g. what counts as one shipment)?</t>
  </si>
  <si>
    <t xml:space="preserve">Task 3a · Stage the Marine file</t>
  </si>
  <si>
    <t xml:space="preserve">Write one formula in the first yellow cell of each column, then drag it down. Columns that are already filled are simple copies.</t>
  </si>
  <si>
    <t xml:space="preserve">RAW — copied exactly as received (grey, don't edit)</t>
  </si>
  <si>
    <t xml:space="preserve">STAGED — contract columns (your formulas in yellow)</t>
  </si>
  <si>
    <t xml:space="preserve">Hints</t>
  </si>
  <si>
    <t xml:space="preserve">ShipDate: B is TEXT like 03/02/2026 = 3 February. Pull day, month, year with LEFT, MID, RIGHT and build a date with DATE(year, month, day).</t>
  </si>
  <si>
    <t xml:space="preserve">TRAP CHECK: MR-1003 must show 03-Feb-2026 (not 02-Mar) and MR-1012 must show 13-Feb-2026 (not an error).</t>
  </si>
  <si>
    <t xml:space="preserve">Status: remove hidden spaces first, then fix the case. Look up TRIM and PROPER.</t>
  </si>
  <si>
    <t xml:space="preserve">SourceSystem: every row gets the same text — this is your audit column.</t>
  </si>
  <si>
    <t xml:space="preserve">Task 3b · Stage the Rail file</t>
  </si>
  <si>
    <t xml:space="preserve">The two title rows were already removed for you (in Power BI you'd do it with Remove Top Rows). Fill the yellow columns.</t>
  </si>
  <si>
    <t xml:space="preserve">ShipmentID: join the text 'RL-' to the number with &amp;  →  RL-45012.</t>
  </si>
  <si>
    <t xml:space="preserve">WeightKG: Rail is in TONNES. 1 tonne = 1,000 kg.</t>
  </si>
  <si>
    <t xml:space="preserve">Status: same trick as Marine.</t>
  </si>
  <si>
    <t xml:space="preserve">Check: RL-45012 should weigh 32,500 kg.</t>
  </si>
  <si>
    <t xml:space="preserve">Task 3c · Stage the Road file</t>
  </si>
  <si>
    <t xml:space="preserve">Road has junk rows. Transform every row, then decide in 'Keep?' which rows are real shipments (Y) and which must be removed (N) — with a reason.</t>
  </si>
  <si>
    <t xml:space="preserve">Keep? (Y/N)</t>
  </si>
  <si>
    <t xml:space="preserve">Reason if N</t>
  </si>
  <si>
    <t xml:space="preserve">ShipmentID: make it UPPERCASE  →  RD-501.</t>
  </si>
  <si>
    <t xml:space="preserve">ShipDate: B is text like 2026-02-02. DATEVALUE turns it into a date; wrap it in IFERROR for the junk rows.</t>
  </si>
  <si>
    <t xml:space="preserve">Keep?: there are 15 raw lines but only 12 real trips. Find the 3 that must go.</t>
  </si>
  <si>
    <t xml:space="preserve">Status: TRIM + PROPER again.</t>
  </si>
  <si>
    <t xml:space="preserve">Why not just delete the junk rows? Because staging keeps the raw copy — you mark and explain, so the audit trail survives.</t>
  </si>
  <si>
    <t xml:space="preserve">Task 4 · Reconcile — Validate Before You Trust (3 min)</t>
  </si>
  <si>
    <t xml:space="preserve">Nothing to type here. These checks read your staging tabs. Every ✘ means a mistake in Task 3 — go back and fix it until everything is ✔.</t>
  </si>
  <si>
    <t xml:space="preserve">Source</t>
  </si>
  <si>
    <t xml:space="preserve">Raw lines</t>
  </si>
  <si>
    <t xml:space="preserve">Removed</t>
  </si>
  <si>
    <t xml:space="preserve">Loaded</t>
  </si>
  <si>
    <t xml:space="preserve">Expected rows</t>
  </si>
  <si>
    <t xml:space="preserve">Weight (kg)</t>
  </si>
  <si>
    <t xml:space="preserve">Expected kg</t>
  </si>
  <si>
    <t xml:space="preserve">Check</t>
  </si>
  <si>
    <t xml:space="preserve">Road</t>
  </si>
  <si>
    <t xml:space="preserve">Total</t>
  </si>
  <si>
    <t xml:space="preserve">Total freight (tonnes)</t>
  </si>
  <si>
    <t xml:space="preserve">Reconciliation rule: Raw lines − Removed = Loaded. Every removed row must have a reason in T3c.</t>
  </si>
  <si>
    <t xml:space="preserve">Expected values (blue) are the official lab answers from slide 39.</t>
  </si>
  <si>
    <t xml:space="preserve">Road (kept)</t>
  </si>
  <si>
    <t xml:space="preserve">Expected</t>
  </si>
  <si>
    <t xml:space="preserve">In Transit</t>
  </si>
  <si>
    <t xml:space="preserve">Delayed</t>
  </si>
  <si>
    <t xml:space="preserve">Other status values</t>
  </si>
  <si>
    <t xml:space="preserve">Date trap</t>
  </si>
  <si>
    <t xml:space="preserve">MR-1003 date</t>
  </si>
  <si>
    <t xml:space="preserve">MR-1012 date</t>
  </si>
  <si>
    <t xml:space="preserve">Task 5 · Trace the Lineage of One Number (5 min)</t>
  </si>
  <si>
    <t xml:space="preserve">Metric: Total Freight = 578.65 tonnes (the card on the CEO dashboard). Fill each tier from the SOURCE down to the REPORT. Model answer idea: slide 29.</t>
  </si>
  <si>
    <t xml:space="preserve">Tier</t>
  </si>
  <si>
    <t xml:space="preserve">What the data looks like here</t>
  </si>
  <si>
    <t xml:space="preserve">What changes here (transformation)</t>
  </si>
  <si>
    <t xml:space="preserve">Quality check you'd place here ✓</t>
  </si>
  <si>
    <t xml:space="preserve">Audit / lineage info you'd keep</t>
  </si>
  <si>
    <t xml:space="preserve">1 · Source files</t>
  </si>
  <si>
    <t xml:space="preserve">2 · Staging</t>
  </si>
  <si>
    <t xml:space="preserve">3 · Storage (integrated)</t>
  </si>
  <si>
    <t xml:space="preserve">4 · Presentation</t>
  </si>
  <si>
    <t xml:space="preserve">5 · Report</t>
  </si>
  <si>
    <t xml:space="preserve">Where do tonnes become kilograms — and why there and not in the dashboard?</t>
  </si>
  <si>
    <t xml:space="preserve">Task 6 · Kimball Bus Matrix (7 min)</t>
  </si>
  <si>
    <t xml:space="preserve">Rows = PakFreight business processes (each becomes one star schema). Columns = dimensions. Put X where a process needs that dimension. Dimensions used by many processes must be CONFORMED (built once, shared by all stars) — that is what stops stovepipes.</t>
  </si>
  <si>
    <t xml:space="preserve">Business process (fact table)</t>
  </si>
  <si>
    <t xml:space="preserve">Customer</t>
  </si>
  <si>
    <t xml:space="preserve">Route</t>
  </si>
  <si>
    <t xml:space="preserve">Vehicle</t>
  </si>
  <si>
    <t xml:space="preserve">Driver</t>
  </si>
  <si>
    <t xml:space="preserve">Station / Port</t>
  </si>
  <si>
    <t xml:space="preserve">Commodity</t>
  </si>
  <si>
    <t xml:space="preserve">Dims used</t>
  </si>
  <si>
    <t xml:space="preserve">Shipments</t>
  </si>
  <si>
    <t xml:space="preserve">X</t>
  </si>
  <si>
    <t xml:space="preserve">Billing &amp; Invoicing</t>
  </si>
  <si>
    <t xml:space="preserve">Fleet Maintenance</t>
  </si>
  <si>
    <t xml:space="preserve">Fuel Purchases</t>
  </si>
  <si>
    <t xml:space="preserve">Driver Trips &amp; Hours</t>
  </si>
  <si>
    <t xml:space="preserve">Customer Complaints</t>
  </si>
  <si>
    <t xml:space="preserve">Processes using this dim</t>
  </si>
  <si>
    <t xml:space="preserve">Row 1 (Shipments) is filled as an example.</t>
  </si>
  <si>
    <t xml:space="preserve">Q1. Which dimension is used by EVERY process? Why is it always conformed first?</t>
  </si>
  <si>
    <t xml:space="preserve">Q2. Which 2–3 dimensions must Finance, Ops and Sales agree on to stop the '3 different totals' problem?</t>
  </si>
  <si>
    <t xml:space="preserve">Q3. Kimball is 'bottom-up'. Does that mean he doesn't plan? What does this matrix prove?</t>
  </si>
  <si>
    <t xml:space="preserve">Q4. Which row would you build first for the COO, and why?</t>
  </si>
  <si>
    <t xml:space="preserve">Task 7 · Inmon, Kimball or Hybrid? (5 min)</t>
  </si>
  <si>
    <t xml:space="preserve">Pick from the drop-down for each statement and give a one-line reason. Your teacher will reveal the answers.</t>
  </si>
  <si>
    <t xml:space="preserve">Statement / scenario</t>
  </si>
  <si>
    <t xml:space="preserve">Inmon · Kimball · Hybrid</t>
  </si>
  <si>
    <t xml:space="preserve">Why? (one line)</t>
  </si>
  <si>
    <t xml:space="preserve">A bank must integrate 40 systems into one enterprise model for regulators before anyone builds reports.</t>
  </si>
  <si>
    <t xml:space="preserve">PakFreight's COO wants a useful shipments dashboard within 3 months.</t>
  </si>
  <si>
    <t xml:space="preserve">The core warehouse is stored in normalised third normal form (3NF).</t>
  </si>
  <si>
    <t xml:space="preserve">Data marts ARE the presentation area, tied together by conformed dimensions.</t>
  </si>
  <si>
    <t xml:space="preserve">The bus matrix is planned for the whole company, but built one process at a time.</t>
  </si>
  <si>
    <t xml:space="preserve">Departments get dependent marts that are derived from the central EDW.</t>
  </si>
  <si>
    <t xml:space="preserve">Biggest risk: a long wait before users see any value.</t>
  </si>
  <si>
    <t xml:space="preserve">Biggest risk: sliding back into stovepipes if teams ignore conformance.</t>
  </si>
  <si>
    <t xml:space="preserve">Start from the data; users discover real requirements after they see it (CLDS).</t>
  </si>
  <si>
    <t xml:space="preserve">Bronze raw files → Silver cleaned &amp; integrated tables → Gold star schemas in Microsoft Fabric.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</si>
</sst>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#,##0"/>
    <numFmt numFmtId="167" formatCode="dd\-mmm\-yyyy"/>
    <numFmt numFmtId="168" formatCode="0.00"/>
    <numFmt numFmtId="169" formatCode="#,##0.00"/>
    <numFmt numFmtId="170" formatCode="\+#,##0.00;\-#,##0.00;0.00"/>
    <numFmt numFmtId="171" formatCode="#,##0.##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545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6B7280"/>
      <name val="Arial"/>
      <family val="0"/>
      <charset val="1"/>
    </font>
    <font>
      <b val="true"/>
      <sz val="11"/>
      <color rgb="FF00A6A6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2545"/>
        <bgColor rgb="FF003300"/>
      </patternFill>
    </fill>
    <fill>
      <patternFill patternType="solid">
        <fgColor rgb="FFFFF59D"/>
        <bgColor rgb="FFF3F4F6"/>
      </patternFill>
    </fill>
    <fill>
      <patternFill patternType="solid">
        <fgColor rgb="FFF3F4F6"/>
        <bgColor rgb="FFE6F6F6"/>
      </patternFill>
    </fill>
    <fill>
      <patternFill patternType="solid">
        <fgColor rgb="FFC6EFCE"/>
        <bgColor rgb="FFE3EDF7"/>
      </patternFill>
    </fill>
    <fill>
      <patternFill patternType="solid">
        <fgColor rgb="FFFFC7CE"/>
        <bgColor rgb="FFC8CFD8"/>
      </patternFill>
    </fill>
    <fill>
      <patternFill patternType="solid">
        <fgColor rgb="FF6B7280"/>
        <bgColor rgb="FF808080"/>
      </patternFill>
    </fill>
    <fill>
      <patternFill patternType="solid">
        <fgColor rgb="FFE6F6F6"/>
        <bgColor rgb="FFE3EDF7"/>
      </patternFill>
    </fill>
    <fill>
      <patternFill patternType="solid">
        <fgColor rgb="FF00A6A6"/>
        <bgColor rgb="FF008080"/>
      </patternFill>
    </fill>
    <fill>
      <patternFill patternType="solid">
        <fgColor rgb="FFE3EDF7"/>
        <bgColor rgb="FFE6F6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FD8"/>
      </left>
      <right style="thin">
        <color rgb="FFC8CFD8"/>
      </right>
      <top style="thin">
        <color rgb="FFC8CFD8"/>
      </top>
      <bottom style="thin">
        <color rgb="FFC8CF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A6A6"/>
      <rgbColor rgb="FFC0C0C0"/>
      <rgbColor rgb="FF808080"/>
      <rgbColor rgb="FF9999FF"/>
      <rgbColor rgb="FF993366"/>
      <rgbColor rgb="FFF3F4F6"/>
      <rgbColor rgb="FFE6F6F6"/>
      <rgbColor rgb="FF660066"/>
      <rgbColor rgb="FFFF8080"/>
      <rgbColor rgb="FF0066CC"/>
      <rgbColor rgb="FFC8CF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DF7"/>
      <rgbColor rgb="FFC6EFCE"/>
      <rgbColor rgb="FFFFF59D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B2545"/>
      <rgbColor rgb="FF339966"/>
      <rgbColor rgb="FF003300"/>
      <rgbColor rgb="FF333300"/>
      <rgbColor rgb="FF993300"/>
      <rgbColor rgb="FF993366"/>
      <rgbColor rgb="FF333399"/>
      <rgbColor rgb="FF4B55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6A6"/>
    <pageSetUpPr fitToPage="tru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34"/>
  </cols>
  <sheetData>
    <row r="1" customFormat="false" ht="27.75" hidden="false" customHeight="tru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27.75" hidden="false" customHeight="true" outlineLevel="0" collapsed="false">
      <c r="A6" s="4" t="s">
        <v>3</v>
      </c>
      <c r="B6" s="5" t="s">
        <v>5</v>
      </c>
      <c r="C6" s="5"/>
      <c r="D6" s="5"/>
      <c r="E6" s="5"/>
      <c r="F6" s="5"/>
    </row>
    <row r="7" customFormat="false" ht="27.75" hidden="false" customHeight="true" outlineLevel="0" collapsed="false">
      <c r="A7" s="4" t="s">
        <v>3</v>
      </c>
      <c r="B7" s="5" t="s">
        <v>6</v>
      </c>
      <c r="C7" s="5"/>
      <c r="D7" s="5"/>
      <c r="E7" s="5"/>
      <c r="F7" s="5"/>
    </row>
    <row r="8" customFormat="false" ht="27.75" hidden="false" customHeight="true" outlineLevel="0" collapsed="false">
      <c r="A8" s="4" t="s">
        <v>3</v>
      </c>
      <c r="B8" s="5" t="s">
        <v>7</v>
      </c>
      <c r="C8" s="5"/>
      <c r="D8" s="5"/>
      <c r="E8" s="5"/>
      <c r="F8" s="5"/>
    </row>
    <row r="9" customFormat="false" ht="27.75" hidden="false" customHeight="true" outlineLevel="0" collapsed="false">
      <c r="A9" s="4" t="s">
        <v>3</v>
      </c>
      <c r="B9" s="5" t="s">
        <v>8</v>
      </c>
      <c r="C9" s="5"/>
      <c r="D9" s="5"/>
      <c r="E9" s="5"/>
      <c r="F9" s="5"/>
    </row>
    <row r="10" customFormat="false" ht="27.75" hidden="false" customHeight="true" outlineLevel="0" collapsed="false">
      <c r="A10" s="4" t="s">
        <v>3</v>
      </c>
      <c r="B10" s="5" t="s">
        <v>9</v>
      </c>
      <c r="C10" s="5"/>
      <c r="D10" s="5"/>
      <c r="E10" s="5"/>
      <c r="F10" s="5"/>
    </row>
    <row r="12" customFormat="false" ht="15" hidden="false" customHeight="false" outlineLevel="0" collapsed="false">
      <c r="A12" s="3" t="s">
        <v>10</v>
      </c>
    </row>
    <row r="13" customFormat="false" ht="31.5" hidden="false" customHeight="true" outlineLevel="0" collapsed="false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15</v>
      </c>
      <c r="F13" s="6" t="s">
        <v>16</v>
      </c>
    </row>
    <row r="14" customFormat="false" ht="15" hidden="false" customHeight="false" outlineLevel="0" collapsed="false">
      <c r="A14" s="7" t="s">
        <v>17</v>
      </c>
      <c r="B14" s="8" t="s">
        <v>18</v>
      </c>
      <c r="C14" s="8" t="s">
        <v>19</v>
      </c>
      <c r="D14" s="7" t="n">
        <v>5</v>
      </c>
      <c r="E14" s="7" t="n">
        <v>3</v>
      </c>
      <c r="F14" s="8" t="s">
        <v>20</v>
      </c>
    </row>
    <row r="15" customFormat="false" ht="15" hidden="false" customHeight="false" outlineLevel="0" collapsed="false">
      <c r="A15" s="7" t="s">
        <v>21</v>
      </c>
      <c r="B15" s="8" t="s">
        <v>22</v>
      </c>
      <c r="C15" s="8" t="s">
        <v>23</v>
      </c>
      <c r="D15" s="7" t="n">
        <v>8</v>
      </c>
      <c r="E15" s="7" t="n">
        <v>6</v>
      </c>
      <c r="F15" s="8" t="s">
        <v>24</v>
      </c>
    </row>
    <row r="16" customFormat="false" ht="23.85" hidden="false" customHeight="false" outlineLevel="0" collapsed="false">
      <c r="A16" s="7" t="s">
        <v>25</v>
      </c>
      <c r="B16" s="8" t="s">
        <v>26</v>
      </c>
      <c r="C16" s="8" t="s">
        <v>27</v>
      </c>
      <c r="D16" s="7" t="n">
        <v>7</v>
      </c>
      <c r="E16" s="7" t="n">
        <v>5</v>
      </c>
      <c r="F16" s="8" t="s">
        <v>28</v>
      </c>
    </row>
    <row r="17" customFormat="false" ht="15" hidden="false" customHeight="false" outlineLevel="0" collapsed="false">
      <c r="A17" s="7" t="s">
        <v>29</v>
      </c>
      <c r="B17" s="8" t="s">
        <v>30</v>
      </c>
      <c r="C17" s="8" t="s">
        <v>31</v>
      </c>
      <c r="D17" s="7" t="n">
        <v>15</v>
      </c>
      <c r="E17" s="7" t="n">
        <v>12</v>
      </c>
      <c r="F17" s="8" t="s">
        <v>32</v>
      </c>
    </row>
    <row r="18" customFormat="false" ht="15" hidden="false" customHeight="false" outlineLevel="0" collapsed="false">
      <c r="A18" s="7" t="s">
        <v>33</v>
      </c>
      <c r="B18" s="8" t="s">
        <v>34</v>
      </c>
      <c r="C18" s="8" t="s">
        <v>35</v>
      </c>
      <c r="D18" s="7" t="n">
        <v>3</v>
      </c>
      <c r="E18" s="7" t="n">
        <v>3</v>
      </c>
      <c r="F18" s="8" t="s">
        <v>36</v>
      </c>
    </row>
    <row r="19" customFormat="false" ht="23.85" hidden="false" customHeight="false" outlineLevel="0" collapsed="false">
      <c r="A19" s="7" t="s">
        <v>37</v>
      </c>
      <c r="B19" s="8" t="s">
        <v>38</v>
      </c>
      <c r="C19" s="8" t="s">
        <v>39</v>
      </c>
      <c r="D19" s="7" t="n">
        <v>5</v>
      </c>
      <c r="E19" s="7" t="n">
        <v>0</v>
      </c>
      <c r="F19" s="8" t="s">
        <v>40</v>
      </c>
    </row>
    <row r="20" customFormat="false" ht="15" hidden="false" customHeight="false" outlineLevel="0" collapsed="false">
      <c r="A20" s="7" t="s">
        <v>41</v>
      </c>
      <c r="B20" s="8" t="s">
        <v>42</v>
      </c>
      <c r="C20" s="8" t="s">
        <v>43</v>
      </c>
      <c r="D20" s="7" t="n">
        <v>7</v>
      </c>
      <c r="E20" s="7" t="n">
        <v>6</v>
      </c>
      <c r="F20" s="8" t="s">
        <v>44</v>
      </c>
    </row>
    <row r="21" customFormat="false" ht="15" hidden="false" customHeight="false" outlineLevel="0" collapsed="false">
      <c r="A21" s="7" t="s">
        <v>45</v>
      </c>
      <c r="B21" s="8" t="s">
        <v>46</v>
      </c>
      <c r="C21" s="8" t="s">
        <v>47</v>
      </c>
      <c r="D21" s="7" t="n">
        <v>5</v>
      </c>
      <c r="E21" s="7" t="n">
        <v>5</v>
      </c>
      <c r="F21" s="8" t="s">
        <v>48</v>
      </c>
    </row>
    <row r="22" customFormat="false" ht="15" hidden="false" customHeight="false" outlineLevel="0" collapsed="false">
      <c r="A22" s="7" t="s">
        <v>49</v>
      </c>
      <c r="B22" s="8" t="s">
        <v>50</v>
      </c>
      <c r="C22" s="8" t="s">
        <v>51</v>
      </c>
      <c r="D22" s="7" t="n">
        <v>5</v>
      </c>
      <c r="E22" s="7" t="n">
        <v>5</v>
      </c>
      <c r="F22" s="8" t="s">
        <v>52</v>
      </c>
    </row>
    <row r="23" customFormat="false" ht="15" hidden="false" customHeight="false" outlineLevel="0" collapsed="false">
      <c r="B23" s="9" t="s">
        <v>53</v>
      </c>
      <c r="D23" s="10" t="n">
        <f aca="false">SUM(D14:D22)</f>
        <v>60</v>
      </c>
      <c r="E23" s="10" t="n">
        <f aca="false">SUM(E14:E22)</f>
        <v>45</v>
      </c>
    </row>
    <row r="25" customFormat="false" ht="15" hidden="false" customHeight="false" outlineLevel="0" collapsed="false">
      <c r="A25" s="3" t="s">
        <v>54</v>
      </c>
    </row>
    <row r="26" customFormat="false" ht="15" hidden="false" customHeight="false" outlineLevel="0" collapsed="false">
      <c r="A26" s="11"/>
      <c r="B26" s="8" t="s">
        <v>55</v>
      </c>
    </row>
    <row r="27" customFormat="false" ht="15" hidden="false" customHeight="false" outlineLevel="0" collapsed="false">
      <c r="A27" s="12"/>
      <c r="B27" s="8" t="s">
        <v>56</v>
      </c>
    </row>
    <row r="28" customFormat="false" ht="15" hidden="false" customHeight="false" outlineLevel="0" collapsed="false">
      <c r="A28" s="13"/>
      <c r="B28" s="8" t="s">
        <v>57</v>
      </c>
    </row>
    <row r="29" customFormat="false" ht="15" hidden="false" customHeight="false" outlineLevel="0" collapsed="false">
      <c r="A29" s="14"/>
      <c r="B29" s="8" t="s">
        <v>58</v>
      </c>
    </row>
    <row r="31" customFormat="false" ht="15" hidden="false" customHeight="false" outlineLevel="0" collapsed="false">
      <c r="A31" s="3" t="s">
        <v>59</v>
      </c>
    </row>
    <row r="32" customFormat="false" ht="31.5" hidden="false" customHeight="true" outlineLevel="0" collapsed="false">
      <c r="A32" s="6" t="s">
        <v>60</v>
      </c>
      <c r="B32" s="6" t="s">
        <v>61</v>
      </c>
      <c r="C32" s="6" t="s">
        <v>62</v>
      </c>
      <c r="D32" s="6" t="s">
        <v>63</v>
      </c>
    </row>
    <row r="33" customFormat="false" ht="23.85" hidden="false" customHeight="false" outlineLevel="0" collapsed="false">
      <c r="A33" s="8" t="s">
        <v>64</v>
      </c>
      <c r="B33" s="8" t="s">
        <v>65</v>
      </c>
      <c r="C33" s="8" t="s">
        <v>66</v>
      </c>
      <c r="D33" s="8" t="s">
        <v>67</v>
      </c>
    </row>
    <row r="34" customFormat="false" ht="15" hidden="false" customHeight="false" outlineLevel="0" collapsed="false">
      <c r="A34" s="8" t="s">
        <v>68</v>
      </c>
      <c r="B34" s="8" t="s">
        <v>69</v>
      </c>
      <c r="C34" s="8" t="s">
        <v>70</v>
      </c>
      <c r="D34" s="8" t="s">
        <v>71</v>
      </c>
    </row>
    <row r="35" customFormat="false" ht="15" hidden="false" customHeight="false" outlineLevel="0" collapsed="false">
      <c r="A35" s="8" t="s">
        <v>72</v>
      </c>
      <c r="B35" s="8" t="s">
        <v>65</v>
      </c>
      <c r="C35" s="8"/>
      <c r="D35" s="8"/>
    </row>
    <row r="36" customFormat="false" ht="15" hidden="false" customHeight="false" outlineLevel="0" collapsed="false">
      <c r="A36" s="8" t="s">
        <v>73</v>
      </c>
      <c r="B36" s="8" t="s">
        <v>65</v>
      </c>
      <c r="C36" s="8"/>
      <c r="D36" s="8"/>
    </row>
    <row r="37" customFormat="false" ht="15" hidden="false" customHeight="false" outlineLevel="0" collapsed="false">
      <c r="A37" s="8" t="s">
        <v>74</v>
      </c>
      <c r="B37" s="8" t="s">
        <v>75</v>
      </c>
      <c r="C37" s="8" t="s">
        <v>76</v>
      </c>
      <c r="D37" s="8" t="s">
        <v>77</v>
      </c>
    </row>
    <row r="38" customFormat="false" ht="15" hidden="false" customHeight="false" outlineLevel="0" collapsed="false">
      <c r="A38" s="8" t="s">
        <v>78</v>
      </c>
      <c r="B38" s="8" t="s">
        <v>75</v>
      </c>
      <c r="C38" s="8" t="s">
        <v>79</v>
      </c>
      <c r="D38" s="8" t="s">
        <v>80</v>
      </c>
    </row>
    <row r="39" customFormat="false" ht="23.85" hidden="false" customHeight="false" outlineLevel="0" collapsed="false">
      <c r="A39" s="8" t="s">
        <v>81</v>
      </c>
      <c r="B39" s="8" t="s">
        <v>65</v>
      </c>
      <c r="C39" s="8" t="s">
        <v>82</v>
      </c>
      <c r="D39" s="8" t="s">
        <v>83</v>
      </c>
    </row>
    <row r="40" customFormat="false" ht="23.85" hidden="false" customHeight="false" outlineLevel="0" collapsed="false">
      <c r="A40" s="8" t="s">
        <v>84</v>
      </c>
      <c r="B40" s="8" t="s">
        <v>65</v>
      </c>
      <c r="C40" s="8" t="s">
        <v>85</v>
      </c>
      <c r="D40" s="8" t="s">
        <v>86</v>
      </c>
    </row>
  </sheetData>
  <mergeCells count="7">
    <mergeCell ref="A2:F2"/>
    <mergeCell ref="B5:F5"/>
    <mergeCell ref="B6:F6"/>
    <mergeCell ref="B7:F7"/>
    <mergeCell ref="B8:F8"/>
    <mergeCell ref="B9:F9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15" t="s">
        <v>87</v>
      </c>
      <c r="B1" s="15" t="s">
        <v>88</v>
      </c>
      <c r="C1" s="15" t="s">
        <v>89</v>
      </c>
      <c r="D1" s="15" t="s">
        <v>90</v>
      </c>
      <c r="E1" s="15" t="s">
        <v>91</v>
      </c>
      <c r="F1" s="15" t="s">
        <v>92</v>
      </c>
      <c r="G1" s="15" t="s">
        <v>81</v>
      </c>
    </row>
    <row r="2" customFormat="false" ht="15" hidden="false" customHeight="false" outlineLevel="0" collapsed="false">
      <c r="A2" s="16" t="s">
        <v>93</v>
      </c>
      <c r="B2" s="16" t="s">
        <v>94</v>
      </c>
      <c r="C2" s="16" t="s">
        <v>95</v>
      </c>
      <c r="D2" s="16" t="s">
        <v>96</v>
      </c>
      <c r="E2" s="17" t="n">
        <v>18000</v>
      </c>
      <c r="F2" s="17" t="n">
        <v>142000</v>
      </c>
      <c r="G2" s="16" t="s">
        <v>97</v>
      </c>
    </row>
    <row r="3" customFormat="false" ht="15" hidden="false" customHeight="false" outlineLevel="0" collapsed="false">
      <c r="A3" s="16" t="s">
        <v>98</v>
      </c>
      <c r="B3" s="16" t="s">
        <v>99</v>
      </c>
      <c r="C3" s="16" t="s">
        <v>100</v>
      </c>
      <c r="D3" s="16" t="s">
        <v>101</v>
      </c>
      <c r="E3" s="17" t="n">
        <v>22500</v>
      </c>
      <c r="F3" s="17" t="n">
        <v>171000</v>
      </c>
      <c r="G3" s="16" t="s">
        <v>102</v>
      </c>
    </row>
    <row r="4" customFormat="false" ht="15" hidden="false" customHeight="false" outlineLevel="0" collapsed="false">
      <c r="A4" s="16" t="s">
        <v>103</v>
      </c>
      <c r="B4" s="16" t="s">
        <v>104</v>
      </c>
      <c r="C4" s="16" t="s">
        <v>95</v>
      </c>
      <c r="D4" s="16" t="s">
        <v>96</v>
      </c>
      <c r="E4" s="17" t="n">
        <v>15000</v>
      </c>
      <c r="F4" s="17" t="n">
        <v>119000</v>
      </c>
      <c r="G4" s="16" t="s">
        <v>105</v>
      </c>
    </row>
    <row r="5" customFormat="false" ht="15" hidden="false" customHeight="false" outlineLevel="0" collapsed="false">
      <c r="A5" s="16" t="s">
        <v>106</v>
      </c>
      <c r="B5" s="16" t="s">
        <v>107</v>
      </c>
      <c r="C5" s="16" t="s">
        <v>108</v>
      </c>
      <c r="D5" s="16" t="s">
        <v>109</v>
      </c>
      <c r="E5" s="17" t="n">
        <v>20000</v>
      </c>
      <c r="F5" s="17" t="n">
        <v>188000</v>
      </c>
      <c r="G5" s="16" t="s">
        <v>97</v>
      </c>
    </row>
    <row r="6" customFormat="false" ht="15" hidden="false" customHeight="false" outlineLevel="0" collapsed="false">
      <c r="A6" s="16" t="s">
        <v>110</v>
      </c>
      <c r="B6" s="16" t="s">
        <v>111</v>
      </c>
      <c r="C6" s="16" t="s">
        <v>100</v>
      </c>
      <c r="D6" s="16" t="s">
        <v>112</v>
      </c>
      <c r="E6" s="17" t="n">
        <v>16500</v>
      </c>
      <c r="F6" s="17" t="n">
        <v>128000</v>
      </c>
      <c r="G6" s="16" t="s">
        <v>113</v>
      </c>
    </row>
    <row r="7" customFormat="false" ht="15" hidden="false" customHeight="false" outlineLevel="0" collapsed="false">
      <c r="A7" s="16" t="s">
        <v>114</v>
      </c>
      <c r="B7" s="16" t="s">
        <v>115</v>
      </c>
      <c r="C7" s="16" t="s">
        <v>95</v>
      </c>
      <c r="D7" s="16" t="s">
        <v>116</v>
      </c>
      <c r="E7" s="17" t="n">
        <v>19000</v>
      </c>
      <c r="F7" s="17" t="n">
        <v>154000</v>
      </c>
      <c r="G7" s="16" t="s">
        <v>117</v>
      </c>
    </row>
    <row r="8" customFormat="false" ht="15" hidden="false" customHeight="false" outlineLevel="0" collapsed="false">
      <c r="A8" s="16" t="s">
        <v>118</v>
      </c>
      <c r="B8" s="16" t="s">
        <v>119</v>
      </c>
      <c r="C8" s="16" t="s">
        <v>100</v>
      </c>
      <c r="D8" s="16" t="s">
        <v>96</v>
      </c>
      <c r="E8" s="17" t="n">
        <v>14000</v>
      </c>
      <c r="F8" s="17" t="n">
        <v>109000</v>
      </c>
      <c r="G8" s="16" t="s">
        <v>97</v>
      </c>
    </row>
    <row r="9" customFormat="false" ht="15" hidden="false" customHeight="false" outlineLevel="0" collapsed="false">
      <c r="A9" s="16" t="s">
        <v>120</v>
      </c>
      <c r="B9" s="16" t="s">
        <v>121</v>
      </c>
      <c r="C9" s="16" t="s">
        <v>95</v>
      </c>
      <c r="D9" s="16" t="s">
        <v>122</v>
      </c>
      <c r="E9" s="17" t="n">
        <v>21000</v>
      </c>
      <c r="F9" s="17" t="n">
        <v>197000</v>
      </c>
      <c r="G9" s="16" t="s">
        <v>123</v>
      </c>
    </row>
    <row r="10" customFormat="false" ht="15" hidden="false" customHeight="false" outlineLevel="0" collapsed="false">
      <c r="A10" s="16" t="s">
        <v>124</v>
      </c>
      <c r="B10" s="16" t="s">
        <v>125</v>
      </c>
      <c r="C10" s="16" t="s">
        <v>108</v>
      </c>
      <c r="D10" s="16" t="s">
        <v>126</v>
      </c>
      <c r="E10" s="17" t="n">
        <v>17500</v>
      </c>
      <c r="F10" s="17" t="n">
        <v>98000</v>
      </c>
      <c r="G10" s="16" t="s">
        <v>97</v>
      </c>
    </row>
    <row r="11" customFormat="false" ht="15" hidden="false" customHeight="false" outlineLevel="0" collapsed="false">
      <c r="A11" s="16" t="s">
        <v>127</v>
      </c>
      <c r="B11" s="16" t="s">
        <v>128</v>
      </c>
      <c r="C11" s="16" t="s">
        <v>100</v>
      </c>
      <c r="D11" s="16" t="s">
        <v>129</v>
      </c>
      <c r="E11" s="17" t="n">
        <v>15500</v>
      </c>
      <c r="F11" s="17" t="n">
        <v>139000</v>
      </c>
      <c r="G11" s="16" t="s">
        <v>97</v>
      </c>
    </row>
    <row r="12" customFormat="false" ht="15" hidden="false" customHeight="false" outlineLevel="0" collapsed="false">
      <c r="A12" s="16" t="s">
        <v>130</v>
      </c>
      <c r="B12" s="16" t="s">
        <v>131</v>
      </c>
      <c r="C12" s="16" t="s">
        <v>95</v>
      </c>
      <c r="D12" s="16" t="s">
        <v>132</v>
      </c>
      <c r="E12" s="17" t="n">
        <v>13500</v>
      </c>
      <c r="F12" s="17" t="n">
        <v>61000</v>
      </c>
      <c r="G12" s="16" t="s">
        <v>105</v>
      </c>
    </row>
    <row r="13" customFormat="false" ht="15" hidden="false" customHeight="false" outlineLevel="0" collapsed="false">
      <c r="A13" s="16" t="s">
        <v>133</v>
      </c>
      <c r="B13" s="16" t="s">
        <v>134</v>
      </c>
      <c r="C13" s="16" t="s">
        <v>100</v>
      </c>
      <c r="D13" s="16" t="s">
        <v>96</v>
      </c>
      <c r="E13" s="17" t="n">
        <v>14000</v>
      </c>
      <c r="F13" s="17" t="n">
        <v>112000</v>
      </c>
      <c r="G13" s="16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8" t="s">
        <v>135</v>
      </c>
    </row>
    <row r="2" customFormat="false" ht="15" hidden="false" customHeight="false" outlineLevel="0" collapsed="false">
      <c r="A2" s="19" t="s">
        <v>136</v>
      </c>
    </row>
    <row r="3" customFormat="false" ht="31.5" hidden="false" customHeight="true" outlineLevel="0" collapsed="false">
      <c r="A3" s="15" t="s">
        <v>137</v>
      </c>
      <c r="B3" s="15" t="s">
        <v>138</v>
      </c>
      <c r="C3" s="15" t="s">
        <v>139</v>
      </c>
      <c r="D3" s="15" t="s">
        <v>140</v>
      </c>
      <c r="E3" s="15" t="s">
        <v>141</v>
      </c>
      <c r="F3" s="15" t="s">
        <v>142</v>
      </c>
      <c r="G3" s="15" t="s">
        <v>81</v>
      </c>
    </row>
    <row r="4" customFormat="false" ht="15" hidden="false" customHeight="false" outlineLevel="0" collapsed="false">
      <c r="A4" s="16" t="n">
        <v>45012</v>
      </c>
      <c r="B4" s="20" t="n">
        <v>46056</v>
      </c>
      <c r="C4" s="16" t="s">
        <v>126</v>
      </c>
      <c r="D4" s="16" t="s">
        <v>143</v>
      </c>
      <c r="E4" s="21" t="n">
        <v>32.5</v>
      </c>
      <c r="F4" s="17" t="n">
        <v>285000</v>
      </c>
      <c r="G4" s="16" t="s">
        <v>83</v>
      </c>
    </row>
    <row r="5" customFormat="false" ht="15" hidden="false" customHeight="false" outlineLevel="0" collapsed="false">
      <c r="A5" s="16" t="n">
        <v>45013</v>
      </c>
      <c r="B5" s="20" t="n">
        <v>46056</v>
      </c>
      <c r="C5" s="16" t="s">
        <v>126</v>
      </c>
      <c r="D5" s="16" t="s">
        <v>144</v>
      </c>
      <c r="E5" s="21" t="n">
        <v>28.75</v>
      </c>
      <c r="F5" s="17" t="n">
        <v>301000</v>
      </c>
      <c r="G5" s="16" t="s">
        <v>145</v>
      </c>
    </row>
    <row r="6" customFormat="false" ht="15" hidden="false" customHeight="false" outlineLevel="0" collapsed="false">
      <c r="A6" s="16" t="n">
        <v>45014</v>
      </c>
      <c r="B6" s="20" t="n">
        <v>46057</v>
      </c>
      <c r="C6" s="16" t="s">
        <v>146</v>
      </c>
      <c r="D6" s="16" t="s">
        <v>147</v>
      </c>
      <c r="E6" s="21" t="n">
        <v>30</v>
      </c>
      <c r="F6" s="17" t="n">
        <v>262000</v>
      </c>
      <c r="G6" s="16" t="s">
        <v>148</v>
      </c>
    </row>
    <row r="7" customFormat="false" ht="15" hidden="false" customHeight="false" outlineLevel="0" collapsed="false">
      <c r="A7" s="16" t="n">
        <v>45015</v>
      </c>
      <c r="B7" s="20" t="n">
        <v>46058</v>
      </c>
      <c r="C7" s="16" t="s">
        <v>126</v>
      </c>
      <c r="D7" s="16" t="s">
        <v>112</v>
      </c>
      <c r="E7" s="21" t="n">
        <v>26.5</v>
      </c>
      <c r="F7" s="17" t="n">
        <v>198000</v>
      </c>
      <c r="G7" s="16" t="s">
        <v>149</v>
      </c>
    </row>
    <row r="8" customFormat="false" ht="15" hidden="false" customHeight="false" outlineLevel="0" collapsed="false">
      <c r="A8" s="16" t="n">
        <v>45016</v>
      </c>
      <c r="B8" s="20" t="n">
        <v>46059</v>
      </c>
      <c r="C8" s="16" t="s">
        <v>146</v>
      </c>
      <c r="D8" s="16" t="s">
        <v>143</v>
      </c>
      <c r="E8" s="21" t="n">
        <v>31.25</v>
      </c>
      <c r="F8" s="17" t="n">
        <v>276000</v>
      </c>
      <c r="G8" s="16" t="s">
        <v>117</v>
      </c>
    </row>
    <row r="9" customFormat="false" ht="15" hidden="false" customHeight="false" outlineLevel="0" collapsed="false">
      <c r="A9" s="16" t="n">
        <v>45017</v>
      </c>
      <c r="B9" s="20" t="n">
        <v>46060</v>
      </c>
      <c r="C9" s="16" t="s">
        <v>126</v>
      </c>
      <c r="D9" s="16" t="s">
        <v>150</v>
      </c>
      <c r="E9" s="21" t="n">
        <v>29</v>
      </c>
      <c r="F9" s="17" t="n">
        <v>334000</v>
      </c>
      <c r="G9" s="16" t="s">
        <v>151</v>
      </c>
    </row>
    <row r="10" customFormat="false" ht="15" hidden="false" customHeight="false" outlineLevel="0" collapsed="false">
      <c r="A10" s="16" t="n">
        <v>45018</v>
      </c>
      <c r="B10" s="20" t="n">
        <v>46062</v>
      </c>
      <c r="C10" s="16" t="s">
        <v>146</v>
      </c>
      <c r="D10" s="16" t="s">
        <v>144</v>
      </c>
      <c r="E10" s="21" t="n">
        <v>27.5</v>
      </c>
      <c r="F10" s="17" t="n">
        <v>289000</v>
      </c>
      <c r="G10" s="16" t="s">
        <v>152</v>
      </c>
    </row>
    <row r="11" customFormat="false" ht="15" hidden="false" customHeight="false" outlineLevel="0" collapsed="false">
      <c r="A11" s="16" t="n">
        <v>45019</v>
      </c>
      <c r="B11" s="20" t="n">
        <v>46063</v>
      </c>
      <c r="C11" s="16" t="s">
        <v>126</v>
      </c>
      <c r="D11" s="16" t="s">
        <v>143</v>
      </c>
      <c r="E11" s="21" t="n">
        <v>33</v>
      </c>
      <c r="F11" s="17" t="n">
        <v>291000</v>
      </c>
      <c r="G11" s="16" t="s">
        <v>83</v>
      </c>
    </row>
    <row r="12" customFormat="false" ht="15" hidden="false" customHeight="false" outlineLevel="0" collapsed="false">
      <c r="A12" s="16" t="n">
        <v>45020</v>
      </c>
      <c r="B12" s="20" t="n">
        <v>46064</v>
      </c>
      <c r="C12" s="16" t="s">
        <v>126</v>
      </c>
      <c r="D12" s="16" t="s">
        <v>153</v>
      </c>
      <c r="E12" s="21" t="n">
        <v>28.25</v>
      </c>
      <c r="F12" s="17" t="n">
        <v>142000</v>
      </c>
      <c r="G12" s="16" t="s">
        <v>154</v>
      </c>
    </row>
    <row r="13" customFormat="false" ht="15" hidden="false" customHeight="false" outlineLevel="0" collapsed="false">
      <c r="A13" s="16" t="n">
        <v>45021</v>
      </c>
      <c r="B13" s="20" t="n">
        <v>46065</v>
      </c>
      <c r="C13" s="16" t="s">
        <v>146</v>
      </c>
      <c r="D13" s="16" t="s">
        <v>112</v>
      </c>
      <c r="E13" s="21" t="n">
        <v>28.5</v>
      </c>
      <c r="F13" s="17" t="n">
        <v>207000</v>
      </c>
      <c r="G13" s="1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3"/>
  </cols>
  <sheetData>
    <row r="1" customFormat="false" ht="31.5" hidden="false" customHeight="true" outlineLevel="0" collapsed="false">
      <c r="A1" s="15" t="s">
        <v>155</v>
      </c>
      <c r="B1" s="15" t="s">
        <v>156</v>
      </c>
      <c r="C1" s="15" t="s">
        <v>157</v>
      </c>
      <c r="D1" s="15" t="s">
        <v>158</v>
      </c>
      <c r="E1" s="15" t="s">
        <v>159</v>
      </c>
      <c r="F1" s="15" t="s">
        <v>160</v>
      </c>
      <c r="G1" s="15" t="s">
        <v>161</v>
      </c>
    </row>
    <row r="2" customFormat="false" ht="15" hidden="false" customHeight="false" outlineLevel="0" collapsed="false">
      <c r="A2" s="16" t="s">
        <v>162</v>
      </c>
      <c r="B2" s="16" t="s">
        <v>163</v>
      </c>
      <c r="C2" s="16" t="s">
        <v>143</v>
      </c>
      <c r="D2" s="16" t="s">
        <v>164</v>
      </c>
      <c r="E2" s="17" t="n">
        <v>6500</v>
      </c>
      <c r="F2" s="17" t="n">
        <v>58000</v>
      </c>
      <c r="G2" s="16" t="s">
        <v>145</v>
      </c>
    </row>
    <row r="3" customFormat="false" ht="15" hidden="false" customHeight="false" outlineLevel="0" collapsed="false">
      <c r="A3" s="16" t="s">
        <v>165</v>
      </c>
      <c r="B3" s="16" t="s">
        <v>163</v>
      </c>
      <c r="C3" s="16" t="s">
        <v>166</v>
      </c>
      <c r="D3" s="16" t="s">
        <v>132</v>
      </c>
      <c r="E3" s="17" t="n">
        <v>7200</v>
      </c>
      <c r="F3" s="17" t="n">
        <v>41000</v>
      </c>
      <c r="G3" s="16" t="s">
        <v>145</v>
      </c>
    </row>
    <row r="4" customFormat="false" ht="15" hidden="false" customHeight="false" outlineLevel="0" collapsed="false">
      <c r="A4" s="16" t="s">
        <v>167</v>
      </c>
      <c r="B4" s="16" t="s">
        <v>168</v>
      </c>
      <c r="C4" s="16" t="s">
        <v>143</v>
      </c>
      <c r="D4" s="16" t="s">
        <v>147</v>
      </c>
      <c r="E4" s="17" t="n">
        <v>5800</v>
      </c>
      <c r="F4" s="17" t="n">
        <v>32000</v>
      </c>
      <c r="G4" s="16" t="s">
        <v>169</v>
      </c>
    </row>
    <row r="5" customFormat="false" ht="15" hidden="false" customHeight="false" outlineLevel="0" collapsed="false">
      <c r="A5" s="16" t="s">
        <v>170</v>
      </c>
      <c r="B5" s="16" t="s">
        <v>171</v>
      </c>
      <c r="C5" s="16" t="s">
        <v>112</v>
      </c>
      <c r="D5" s="16" t="s">
        <v>143</v>
      </c>
      <c r="E5" s="17" t="n">
        <v>6900</v>
      </c>
      <c r="F5" s="17" t="n">
        <v>61000</v>
      </c>
      <c r="G5" s="16" t="s">
        <v>145</v>
      </c>
    </row>
    <row r="6" customFormat="false" ht="15" hidden="false" customHeight="false" outlineLevel="0" collapsed="false">
      <c r="A6" s="16" t="s">
        <v>172</v>
      </c>
      <c r="B6" s="16" t="s">
        <v>173</v>
      </c>
      <c r="C6" s="16" t="s">
        <v>164</v>
      </c>
      <c r="D6" s="16" t="s">
        <v>122</v>
      </c>
      <c r="E6" s="17" t="n">
        <v>6100</v>
      </c>
      <c r="F6" s="17" t="n">
        <v>47000</v>
      </c>
      <c r="G6" s="16" t="s">
        <v>145</v>
      </c>
    </row>
    <row r="7" customFormat="false" ht="15" hidden="false" customHeight="false" outlineLevel="0" collapsed="false">
      <c r="A7" s="16" t="s">
        <v>172</v>
      </c>
      <c r="B7" s="16" t="s">
        <v>173</v>
      </c>
      <c r="C7" s="16" t="s">
        <v>164</v>
      </c>
      <c r="D7" s="16" t="s">
        <v>122</v>
      </c>
      <c r="E7" s="17" t="n">
        <v>6100</v>
      </c>
      <c r="F7" s="17" t="n">
        <v>47000</v>
      </c>
      <c r="G7" s="16" t="s">
        <v>145</v>
      </c>
    </row>
    <row r="8" customFormat="false" ht="15" hidden="false" customHeight="false" outlineLevel="0" collapsed="false">
      <c r="A8" s="16" t="s">
        <v>174</v>
      </c>
      <c r="B8" s="16" t="s">
        <v>175</v>
      </c>
      <c r="C8" s="16" t="s">
        <v>166</v>
      </c>
      <c r="D8" s="16" t="s">
        <v>153</v>
      </c>
      <c r="E8" s="17" t="n">
        <v>7400</v>
      </c>
      <c r="F8" s="17" t="n">
        <v>83000</v>
      </c>
      <c r="G8" s="16" t="s">
        <v>152</v>
      </c>
    </row>
    <row r="9" customFormat="false" ht="15" hidden="false" customHeight="false" outlineLevel="0" collapsed="false">
      <c r="A9" s="16" t="s">
        <v>176</v>
      </c>
      <c r="B9" s="16" t="s">
        <v>177</v>
      </c>
      <c r="C9" s="16" t="s">
        <v>143</v>
      </c>
      <c r="D9" s="16" t="s">
        <v>178</v>
      </c>
      <c r="E9" s="17" t="n">
        <v>5900</v>
      </c>
      <c r="F9" s="17" t="n">
        <v>39000</v>
      </c>
      <c r="G9" s="16" t="s">
        <v>145</v>
      </c>
    </row>
    <row r="10" customFormat="false" ht="15" hidden="false" customHeight="false" outlineLevel="0" collapsed="false">
      <c r="A10" s="16" t="s">
        <v>179</v>
      </c>
      <c r="B10" s="16" t="s">
        <v>180</v>
      </c>
      <c r="C10" s="16" t="s">
        <v>109</v>
      </c>
      <c r="D10" s="16" t="s">
        <v>166</v>
      </c>
      <c r="E10" s="17" t="n">
        <v>6600</v>
      </c>
      <c r="F10" s="17" t="n">
        <v>92000</v>
      </c>
      <c r="G10" s="16" t="s">
        <v>181</v>
      </c>
    </row>
    <row r="11" customFormat="false" ht="15" hidden="false" customHeight="false" outlineLevel="0" collapsed="false">
      <c r="A11" s="16" t="s">
        <v>182</v>
      </c>
      <c r="B11" s="16" t="s">
        <v>183</v>
      </c>
      <c r="C11" s="16" t="s">
        <v>147</v>
      </c>
      <c r="D11" s="16" t="s">
        <v>112</v>
      </c>
      <c r="E11" s="17" t="n">
        <v>6200</v>
      </c>
      <c r="F11" s="17" t="n">
        <v>44000</v>
      </c>
      <c r="G11" s="16" t="s">
        <v>184</v>
      </c>
    </row>
    <row r="12" customFormat="false" ht="15" hidden="false" customHeight="false" outlineLevel="0" collapsed="false">
      <c r="A12" s="16" t="s">
        <v>185</v>
      </c>
      <c r="B12" s="16" t="s">
        <v>186</v>
      </c>
      <c r="C12" s="16" t="s">
        <v>143</v>
      </c>
      <c r="D12" s="16" t="s">
        <v>187</v>
      </c>
      <c r="E12" s="17" t="n">
        <v>7000</v>
      </c>
      <c r="F12" s="17" t="n">
        <v>27000</v>
      </c>
      <c r="G12" s="16" t="s">
        <v>145</v>
      </c>
    </row>
    <row r="13" customFormat="false" ht="15" hidden="false" customHeight="false" outlineLevel="0" collapsed="false">
      <c r="A13" s="16" t="s">
        <v>188</v>
      </c>
      <c r="B13" s="16" t="s">
        <v>189</v>
      </c>
      <c r="C13" s="16" t="s">
        <v>166</v>
      </c>
      <c r="D13" s="16" t="s">
        <v>132</v>
      </c>
      <c r="E13" s="17" t="n">
        <v>5500</v>
      </c>
      <c r="F13" s="17" t="n">
        <v>36000</v>
      </c>
      <c r="G13" s="16" t="s">
        <v>190</v>
      </c>
    </row>
    <row r="14" customFormat="false" ht="15" hidden="false" customHeight="false" outlineLevel="0" collapsed="false">
      <c r="A14" s="16" t="s">
        <v>191</v>
      </c>
      <c r="B14" s="16" t="s">
        <v>192</v>
      </c>
      <c r="C14" s="16" t="s">
        <v>144</v>
      </c>
      <c r="D14" s="16" t="s">
        <v>193</v>
      </c>
      <c r="E14" s="17" t="n">
        <v>5800</v>
      </c>
      <c r="F14" s="17" t="n">
        <v>45000</v>
      </c>
      <c r="G14" s="16" t="s">
        <v>145</v>
      </c>
    </row>
    <row r="15" customFormat="false" ht="15" hidden="false" customHeight="false" outlineLevel="0" collapsed="false">
      <c r="A15" s="16"/>
      <c r="B15" s="16"/>
      <c r="C15" s="16"/>
      <c r="D15" s="16"/>
      <c r="E15" s="17"/>
      <c r="F15" s="17"/>
      <c r="G15" s="16"/>
    </row>
    <row r="16" customFormat="false" ht="15" hidden="false" customHeight="false" outlineLevel="0" collapsed="false">
      <c r="A16" s="16" t="s">
        <v>194</v>
      </c>
      <c r="B16" s="16"/>
      <c r="C16" s="16"/>
      <c r="D16" s="16"/>
      <c r="E16" s="17" t="n">
        <v>83000</v>
      </c>
      <c r="F16" s="17" t="n">
        <v>652000</v>
      </c>
      <c r="G16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5" min="4" style="0" width="40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27.75" hidden="false" customHeight="true" outlineLevel="0" collapsed="false">
      <c r="A1" s="1" t="s">
        <v>195</v>
      </c>
    </row>
    <row r="2" customFormat="false" ht="43.5" hidden="false" customHeight="true" outlineLevel="0" collapsed="false">
      <c r="A2" s="2" t="s">
        <v>196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6" t="s">
        <v>11</v>
      </c>
      <c r="B4" s="6" t="s">
        <v>197</v>
      </c>
      <c r="C4" s="6" t="s">
        <v>198</v>
      </c>
      <c r="D4" s="6" t="s">
        <v>199</v>
      </c>
      <c r="E4" s="6" t="s">
        <v>200</v>
      </c>
      <c r="F4" s="6" t="s">
        <v>201</v>
      </c>
      <c r="G4" s="6" t="s">
        <v>202</v>
      </c>
    </row>
    <row r="5" customFormat="false" ht="30" hidden="false" customHeight="true" outlineLevel="0" collapsed="false">
      <c r="A5" s="7" t="n">
        <v>1</v>
      </c>
      <c r="B5" s="8" t="s">
        <v>203</v>
      </c>
      <c r="C5" s="8" t="s">
        <v>204</v>
      </c>
      <c r="D5" s="8" t="s">
        <v>205</v>
      </c>
      <c r="E5" s="8" t="s">
        <v>206</v>
      </c>
      <c r="F5" s="8" t="s">
        <v>207</v>
      </c>
      <c r="G5" s="8" t="s">
        <v>208</v>
      </c>
    </row>
    <row r="6" customFormat="false" ht="30" hidden="false" customHeight="true" outlineLevel="0" collapsed="false">
      <c r="A6" s="7" t="n">
        <v>2</v>
      </c>
      <c r="B6" s="11"/>
      <c r="C6" s="11"/>
      <c r="D6" s="11"/>
      <c r="E6" s="11"/>
      <c r="F6" s="11"/>
      <c r="G6" s="11"/>
    </row>
    <row r="7" customFormat="false" ht="30" hidden="false" customHeight="true" outlineLevel="0" collapsed="false">
      <c r="A7" s="7" t="n">
        <v>3</v>
      </c>
      <c r="B7" s="11"/>
      <c r="C7" s="11"/>
      <c r="D7" s="11"/>
      <c r="E7" s="11"/>
      <c r="F7" s="11"/>
      <c r="G7" s="11"/>
    </row>
    <row r="8" customFormat="false" ht="30" hidden="false" customHeight="true" outlineLevel="0" collapsed="false">
      <c r="A8" s="7" t="n">
        <v>4</v>
      </c>
      <c r="B8" s="11"/>
      <c r="C8" s="11"/>
      <c r="D8" s="11"/>
      <c r="E8" s="11"/>
      <c r="F8" s="11"/>
      <c r="G8" s="11"/>
    </row>
    <row r="9" customFormat="false" ht="30" hidden="false" customHeight="true" outlineLevel="0" collapsed="false">
      <c r="A9" s="7" t="n">
        <v>5</v>
      </c>
      <c r="B9" s="11"/>
      <c r="C9" s="11"/>
      <c r="D9" s="11"/>
      <c r="E9" s="11"/>
      <c r="F9" s="11"/>
      <c r="G9" s="11"/>
    </row>
    <row r="10" customFormat="false" ht="30" hidden="false" customHeight="true" outlineLevel="0" collapsed="false">
      <c r="A10" s="7" t="n">
        <v>6</v>
      </c>
      <c r="B10" s="11"/>
      <c r="C10" s="11"/>
      <c r="D10" s="11"/>
      <c r="E10" s="11"/>
      <c r="F10" s="11"/>
      <c r="G10" s="11"/>
    </row>
    <row r="11" customFormat="false" ht="30" hidden="false" customHeight="true" outlineLevel="0" collapsed="false">
      <c r="A11" s="7" t="n">
        <v>7</v>
      </c>
      <c r="B11" s="11"/>
      <c r="C11" s="11"/>
      <c r="D11" s="11"/>
      <c r="E11" s="11"/>
      <c r="F11" s="11"/>
      <c r="G11" s="11"/>
    </row>
    <row r="12" customFormat="false" ht="30" hidden="false" customHeight="true" outlineLevel="0" collapsed="false">
      <c r="A12" s="7" t="n">
        <v>8</v>
      </c>
      <c r="B12" s="11"/>
      <c r="C12" s="11"/>
      <c r="D12" s="11"/>
      <c r="E12" s="11"/>
      <c r="F12" s="11"/>
      <c r="G12" s="11"/>
    </row>
    <row r="13" customFormat="false" ht="30" hidden="false" customHeight="true" outlineLevel="0" collapsed="false">
      <c r="A13" s="7" t="n">
        <v>9</v>
      </c>
      <c r="B13" s="11"/>
      <c r="C13" s="11"/>
      <c r="D13" s="11"/>
      <c r="E13" s="11"/>
      <c r="F13" s="11"/>
      <c r="G13" s="11"/>
    </row>
    <row r="14" customFormat="false" ht="30" hidden="false" customHeight="true" outlineLevel="0" collapsed="false">
      <c r="A14" s="7" t="n">
        <v>10</v>
      </c>
      <c r="B14" s="11"/>
      <c r="C14" s="11"/>
      <c r="D14" s="11"/>
      <c r="E14" s="11"/>
      <c r="F14" s="11"/>
      <c r="G14" s="11"/>
    </row>
    <row r="15" customFormat="false" ht="30" hidden="false" customHeight="true" outlineLevel="0" collapsed="false">
      <c r="A15" s="7" t="n">
        <v>11</v>
      </c>
      <c r="B15" s="11"/>
      <c r="C15" s="11"/>
      <c r="D15" s="11"/>
      <c r="E15" s="11"/>
      <c r="F15" s="11"/>
      <c r="G15" s="11"/>
    </row>
    <row r="16" customFormat="false" ht="30" hidden="false" customHeight="true" outlineLevel="0" collapsed="false">
      <c r="A16" s="7" t="n">
        <v>12</v>
      </c>
      <c r="B16" s="11"/>
      <c r="C16" s="11"/>
      <c r="D16" s="11"/>
      <c r="E16" s="11"/>
      <c r="F16" s="11"/>
      <c r="G16" s="11"/>
    </row>
    <row r="18" customFormat="false" ht="15" hidden="false" customHeight="false" outlineLevel="0" collapsed="false">
      <c r="D18" s="22" t="s">
        <v>209</v>
      </c>
      <c r="E18" s="9" t="n">
        <f aca="false">COUNTA(D5:D16)</f>
        <v>1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34"/>
  </cols>
  <sheetData>
    <row r="1" customFormat="false" ht="27.75" hidden="false" customHeight="true" outlineLevel="0" collapsed="false">
      <c r="A1" s="1" t="s">
        <v>210</v>
      </c>
    </row>
    <row r="2" customFormat="false" ht="43.5" hidden="false" customHeight="true" outlineLevel="0" collapsed="false">
      <c r="A2" s="2" t="s">
        <v>211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6" t="s">
        <v>212</v>
      </c>
      <c r="B4" s="6" t="s">
        <v>213</v>
      </c>
      <c r="C4" s="6" t="s">
        <v>214</v>
      </c>
      <c r="D4" s="6" t="s">
        <v>215</v>
      </c>
      <c r="E4" s="6" t="s">
        <v>216</v>
      </c>
      <c r="F4" s="6" t="s">
        <v>217</v>
      </c>
    </row>
    <row r="5" customFormat="false" ht="43.5" hidden="false" customHeight="true" outlineLevel="0" collapsed="false">
      <c r="A5" s="9" t="s">
        <v>218</v>
      </c>
      <c r="B5" s="8" t="s">
        <v>219</v>
      </c>
      <c r="C5" s="23"/>
      <c r="D5" s="24" t="str">
        <f aca="false">IF(C5="","",C5/1000)</f>
        <v/>
      </c>
      <c r="E5" s="25" t="str">
        <f aca="false">IF(C5="","",D5-$D$9)</f>
        <v/>
      </c>
      <c r="F5" s="26" t="s">
        <v>220</v>
      </c>
    </row>
    <row r="6" customFormat="false" ht="43.5" hidden="false" customHeight="true" outlineLevel="0" collapsed="false">
      <c r="A6" s="9" t="s">
        <v>221</v>
      </c>
      <c r="B6" s="8" t="s">
        <v>222</v>
      </c>
      <c r="C6" s="23"/>
      <c r="D6" s="24" t="str">
        <f aca="false">IF(C6="","",C6/1000)</f>
        <v/>
      </c>
      <c r="E6" s="25" t="str">
        <f aca="false">IF(C6="","",D6-$D$9)</f>
        <v/>
      </c>
      <c r="F6" s="26" t="s">
        <v>223</v>
      </c>
    </row>
    <row r="7" customFormat="false" ht="43.5" hidden="false" customHeight="true" outlineLevel="0" collapsed="false">
      <c r="A7" s="9" t="s">
        <v>224</v>
      </c>
      <c r="B7" s="8" t="s">
        <v>225</v>
      </c>
      <c r="C7" s="23"/>
      <c r="D7" s="24" t="str">
        <f aca="false">IF(C7="","",C7/1000)</f>
        <v/>
      </c>
      <c r="E7" s="25" t="str">
        <f aca="false">IF(C7="","",D7-$D$9)</f>
        <v/>
      </c>
      <c r="F7" s="26" t="s">
        <v>226</v>
      </c>
    </row>
    <row r="9" customFormat="false" ht="23.85" hidden="false" customHeight="false" outlineLevel="0" collapsed="false">
      <c r="A9" s="27" t="s">
        <v>227</v>
      </c>
      <c r="B9" s="28" t="s">
        <v>228</v>
      </c>
      <c r="C9" s="29" t="n">
        <v>578650</v>
      </c>
      <c r="D9" s="30" t="n">
        <f aca="false">C9/1000</f>
        <v>578.65</v>
      </c>
      <c r="E9" s="28"/>
      <c r="F9" s="28"/>
    </row>
    <row r="11" customFormat="false" ht="15" hidden="false" customHeight="false" outlineLevel="0" collapsed="false">
      <c r="A11" s="3" t="s">
        <v>229</v>
      </c>
    </row>
    <row r="12" customFormat="false" ht="15" hidden="false" customHeight="true" outlineLevel="0" collapsed="false">
      <c r="A12" s="9" t="s">
        <v>230</v>
      </c>
      <c r="B12" s="9"/>
      <c r="C12" s="9"/>
      <c r="D12" s="9"/>
      <c r="E12" s="9"/>
      <c r="F12" s="9"/>
    </row>
    <row r="13" customFormat="false" ht="30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15" hidden="false" customHeight="true" outlineLevel="0" collapsed="false">
      <c r="A14" s="9" t="s">
        <v>231</v>
      </c>
      <c r="B14" s="9"/>
      <c r="C14" s="9"/>
      <c r="D14" s="9"/>
      <c r="E14" s="9"/>
      <c r="F14" s="9"/>
    </row>
    <row r="15" customFormat="false" ht="30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15" hidden="false" customHeight="true" outlineLevel="0" collapsed="false">
      <c r="A16" s="9" t="s">
        <v>232</v>
      </c>
      <c r="B16" s="9"/>
      <c r="C16" s="9"/>
      <c r="D16" s="9"/>
      <c r="E16" s="9"/>
      <c r="F16" s="9"/>
    </row>
    <row r="17" customFormat="false" ht="30" hidden="false" customHeight="true" outlineLevel="0" collapsed="false">
      <c r="A17" s="11"/>
      <c r="B17" s="11"/>
      <c r="C17" s="11"/>
      <c r="D17" s="11"/>
      <c r="E17" s="11"/>
      <c r="F17" s="11"/>
    </row>
    <row r="18" customFormat="false" ht="15" hidden="false" customHeight="true" outlineLevel="0" collapsed="false">
      <c r="A18" s="9" t="s">
        <v>233</v>
      </c>
      <c r="B18" s="9"/>
      <c r="C18" s="9"/>
      <c r="D18" s="9"/>
      <c r="E18" s="9"/>
      <c r="F18" s="9"/>
    </row>
    <row r="19" customFormat="false" ht="30" hidden="false" customHeight="true" outlineLevel="0" collapsed="false">
      <c r="A19" s="11"/>
      <c r="B19" s="11"/>
      <c r="C19" s="11"/>
      <c r="D19" s="11"/>
      <c r="E19" s="11"/>
      <c r="F19" s="11"/>
    </row>
  </sheetData>
  <mergeCells count="9">
    <mergeCell ref="A2:F2"/>
    <mergeCell ref="A12:F12"/>
    <mergeCell ref="A13:F13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22"/>
    <col collapsed="false" customWidth="true" hidden="false" outlineLevel="0" max="18" min="18" style="0" width="110"/>
  </cols>
  <sheetData>
    <row r="1" customFormat="false" ht="27.75" hidden="false" customHeight="true" outlineLevel="0" collapsed="false">
      <c r="A1" s="1" t="s">
        <v>234</v>
      </c>
    </row>
    <row r="2" customFormat="false" ht="43.5" hidden="false" customHeight="true" outlineLevel="0" collapsed="false">
      <c r="A2" s="2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1" t="s">
        <v>236</v>
      </c>
      <c r="B3" s="31"/>
      <c r="C3" s="31"/>
      <c r="D3" s="31"/>
      <c r="E3" s="31"/>
      <c r="F3" s="31"/>
      <c r="G3" s="31"/>
      <c r="H3" s="32" t="s">
        <v>237</v>
      </c>
      <c r="I3" s="32"/>
      <c r="J3" s="32"/>
      <c r="K3" s="32"/>
      <c r="L3" s="32"/>
      <c r="M3" s="32"/>
      <c r="N3" s="32"/>
      <c r="O3" s="32"/>
    </row>
    <row r="4" customFormat="false" ht="31.5" hidden="false" customHeight="true" outlineLevel="0" collapsed="false">
      <c r="A4" s="15" t="s">
        <v>87</v>
      </c>
      <c r="B4" s="15" t="s">
        <v>88</v>
      </c>
      <c r="C4" s="15" t="s">
        <v>89</v>
      </c>
      <c r="D4" s="15" t="s">
        <v>90</v>
      </c>
      <c r="E4" s="15" t="s">
        <v>91</v>
      </c>
      <c r="F4" s="15" t="s">
        <v>92</v>
      </c>
      <c r="G4" s="15" t="s">
        <v>81</v>
      </c>
      <c r="H4" s="6" t="s">
        <v>64</v>
      </c>
      <c r="I4" s="6" t="s">
        <v>68</v>
      </c>
      <c r="J4" s="6" t="s">
        <v>72</v>
      </c>
      <c r="K4" s="6" t="s">
        <v>73</v>
      </c>
      <c r="L4" s="6" t="s">
        <v>74</v>
      </c>
      <c r="M4" s="6" t="s">
        <v>78</v>
      </c>
      <c r="N4" s="6" t="s">
        <v>81</v>
      </c>
      <c r="O4" s="6" t="s">
        <v>84</v>
      </c>
      <c r="R4" s="27" t="s">
        <v>238</v>
      </c>
    </row>
    <row r="5" customFormat="false" ht="15" hidden="false" customHeight="false" outlineLevel="0" collapsed="false">
      <c r="A5" s="16" t="s">
        <v>93</v>
      </c>
      <c r="B5" s="16" t="s">
        <v>94</v>
      </c>
      <c r="C5" s="16" t="s">
        <v>95</v>
      </c>
      <c r="D5" s="16" t="s">
        <v>96</v>
      </c>
      <c r="E5" s="33" t="n">
        <v>18000</v>
      </c>
      <c r="F5" s="17" t="n">
        <v>142000</v>
      </c>
      <c r="G5" s="16" t="s">
        <v>97</v>
      </c>
      <c r="H5" s="34" t="str">
        <f aca="false">A5</f>
        <v>MR-1001</v>
      </c>
      <c r="I5" s="35"/>
      <c r="J5" s="34" t="str">
        <f aca="false">C5</f>
        <v>Karachi Port</v>
      </c>
      <c r="K5" s="34" t="str">
        <f aca="false">D5</f>
        <v>Lahore Dry Port</v>
      </c>
      <c r="L5" s="36" t="n">
        <f aca="false">E5</f>
        <v>18000</v>
      </c>
      <c r="M5" s="36" t="n">
        <f aca="false">F5</f>
        <v>142000</v>
      </c>
      <c r="N5" s="37"/>
      <c r="O5" s="37"/>
      <c r="R5" s="38" t="s">
        <v>239</v>
      </c>
    </row>
    <row r="6" customFormat="false" ht="15" hidden="false" customHeight="false" outlineLevel="0" collapsed="false">
      <c r="A6" s="16" t="s">
        <v>98</v>
      </c>
      <c r="B6" s="16" t="s">
        <v>99</v>
      </c>
      <c r="C6" s="16" t="s">
        <v>100</v>
      </c>
      <c r="D6" s="16" t="s">
        <v>101</v>
      </c>
      <c r="E6" s="33" t="n">
        <v>22500</v>
      </c>
      <c r="F6" s="17" t="n">
        <v>171000</v>
      </c>
      <c r="G6" s="16" t="s">
        <v>102</v>
      </c>
      <c r="H6" s="34" t="str">
        <f aca="false">A6</f>
        <v>MR-1002</v>
      </c>
      <c r="I6" s="35"/>
      <c r="J6" s="34" t="str">
        <f aca="false">C6</f>
        <v>Port Qasim</v>
      </c>
      <c r="K6" s="34" t="str">
        <f aca="false">D6</f>
        <v>Faisalabad Dry Port</v>
      </c>
      <c r="L6" s="36" t="n">
        <f aca="false">E6</f>
        <v>22500</v>
      </c>
      <c r="M6" s="36" t="n">
        <f aca="false">F6</f>
        <v>171000</v>
      </c>
      <c r="N6" s="37"/>
      <c r="O6" s="37"/>
      <c r="R6" s="38" t="s">
        <v>240</v>
      </c>
    </row>
    <row r="7" customFormat="false" ht="15" hidden="false" customHeight="false" outlineLevel="0" collapsed="false">
      <c r="A7" s="16" t="s">
        <v>103</v>
      </c>
      <c r="B7" s="16" t="s">
        <v>104</v>
      </c>
      <c r="C7" s="16" t="s">
        <v>95</v>
      </c>
      <c r="D7" s="16" t="s">
        <v>96</v>
      </c>
      <c r="E7" s="33" t="n">
        <v>15000</v>
      </c>
      <c r="F7" s="17" t="n">
        <v>119000</v>
      </c>
      <c r="G7" s="16" t="s">
        <v>105</v>
      </c>
      <c r="H7" s="34" t="str">
        <f aca="false">A7</f>
        <v>MR-1003</v>
      </c>
      <c r="I7" s="35"/>
      <c r="J7" s="34" t="str">
        <f aca="false">C7</f>
        <v>Karachi Port</v>
      </c>
      <c r="K7" s="34" t="str">
        <f aca="false">D7</f>
        <v>Lahore Dry Port</v>
      </c>
      <c r="L7" s="36" t="n">
        <f aca="false">E7</f>
        <v>15000</v>
      </c>
      <c r="M7" s="36" t="n">
        <f aca="false">F7</f>
        <v>119000</v>
      </c>
      <c r="N7" s="37"/>
      <c r="O7" s="37"/>
      <c r="R7" s="38" t="s">
        <v>241</v>
      </c>
    </row>
    <row r="8" customFormat="false" ht="15" hidden="false" customHeight="false" outlineLevel="0" collapsed="false">
      <c r="A8" s="16" t="s">
        <v>106</v>
      </c>
      <c r="B8" s="16" t="s">
        <v>107</v>
      </c>
      <c r="C8" s="16" t="s">
        <v>108</v>
      </c>
      <c r="D8" s="16" t="s">
        <v>109</v>
      </c>
      <c r="E8" s="33" t="n">
        <v>20000</v>
      </c>
      <c r="F8" s="17" t="n">
        <v>188000</v>
      </c>
      <c r="G8" s="16" t="s">
        <v>97</v>
      </c>
      <c r="H8" s="34" t="str">
        <f aca="false">A8</f>
        <v>MR-1004</v>
      </c>
      <c r="I8" s="35"/>
      <c r="J8" s="34" t="str">
        <f aca="false">C8</f>
        <v>Gwadar Port</v>
      </c>
      <c r="K8" s="34" t="str">
        <f aca="false">D8</f>
        <v>Quetta</v>
      </c>
      <c r="L8" s="36" t="n">
        <f aca="false">E8</f>
        <v>20000</v>
      </c>
      <c r="M8" s="36" t="n">
        <f aca="false">F8</f>
        <v>188000</v>
      </c>
      <c r="N8" s="37"/>
      <c r="O8" s="37"/>
      <c r="R8" s="38" t="s">
        <v>242</v>
      </c>
    </row>
    <row r="9" customFormat="false" ht="15" hidden="false" customHeight="false" outlineLevel="0" collapsed="false">
      <c r="A9" s="16" t="s">
        <v>110</v>
      </c>
      <c r="B9" s="16" t="s">
        <v>111</v>
      </c>
      <c r="C9" s="16" t="s">
        <v>100</v>
      </c>
      <c r="D9" s="16" t="s">
        <v>112</v>
      </c>
      <c r="E9" s="33" t="n">
        <v>16500</v>
      </c>
      <c r="F9" s="17" t="n">
        <v>128000</v>
      </c>
      <c r="G9" s="16" t="s">
        <v>113</v>
      </c>
      <c r="H9" s="34" t="str">
        <f aca="false">A9</f>
        <v>MR-1005</v>
      </c>
      <c r="I9" s="35"/>
      <c r="J9" s="34" t="str">
        <f aca="false">C9</f>
        <v>Port Qasim</v>
      </c>
      <c r="K9" s="34" t="str">
        <f aca="false">D9</f>
        <v>Multan</v>
      </c>
      <c r="L9" s="36" t="n">
        <f aca="false">E9</f>
        <v>16500</v>
      </c>
      <c r="M9" s="36" t="n">
        <f aca="false">F9</f>
        <v>128000</v>
      </c>
      <c r="N9" s="37"/>
      <c r="O9" s="37"/>
    </row>
    <row r="10" customFormat="false" ht="15" hidden="false" customHeight="false" outlineLevel="0" collapsed="false">
      <c r="A10" s="16" t="s">
        <v>114</v>
      </c>
      <c r="B10" s="16" t="s">
        <v>115</v>
      </c>
      <c r="C10" s="16" t="s">
        <v>95</v>
      </c>
      <c r="D10" s="16" t="s">
        <v>116</v>
      </c>
      <c r="E10" s="33" t="n">
        <v>19000</v>
      </c>
      <c r="F10" s="17" t="n">
        <v>154000</v>
      </c>
      <c r="G10" s="16" t="s">
        <v>117</v>
      </c>
      <c r="H10" s="34" t="str">
        <f aca="false">A10</f>
        <v>MR-1006</v>
      </c>
      <c r="I10" s="35"/>
      <c r="J10" s="34" t="str">
        <f aca="false">C10</f>
        <v>Karachi Port</v>
      </c>
      <c r="K10" s="34" t="str">
        <f aca="false">D10</f>
        <v>Sialkot Dry Port</v>
      </c>
      <c r="L10" s="36" t="n">
        <f aca="false">E10</f>
        <v>19000</v>
      </c>
      <c r="M10" s="36" t="n">
        <f aca="false">F10</f>
        <v>154000</v>
      </c>
      <c r="N10" s="37"/>
      <c r="O10" s="37"/>
    </row>
    <row r="11" customFormat="false" ht="15" hidden="false" customHeight="false" outlineLevel="0" collapsed="false">
      <c r="A11" s="16" t="s">
        <v>118</v>
      </c>
      <c r="B11" s="16" t="s">
        <v>119</v>
      </c>
      <c r="C11" s="16" t="s">
        <v>100</v>
      </c>
      <c r="D11" s="16" t="s">
        <v>96</v>
      </c>
      <c r="E11" s="33" t="n">
        <v>14000</v>
      </c>
      <c r="F11" s="17" t="n">
        <v>109000</v>
      </c>
      <c r="G11" s="16" t="s">
        <v>97</v>
      </c>
      <c r="H11" s="34" t="str">
        <f aca="false">A11</f>
        <v>MR-1007</v>
      </c>
      <c r="I11" s="35"/>
      <c r="J11" s="34" t="str">
        <f aca="false">C11</f>
        <v>Port Qasim</v>
      </c>
      <c r="K11" s="34" t="str">
        <f aca="false">D11</f>
        <v>Lahore Dry Port</v>
      </c>
      <c r="L11" s="36" t="n">
        <f aca="false">E11</f>
        <v>14000</v>
      </c>
      <c r="M11" s="36" t="n">
        <f aca="false">F11</f>
        <v>109000</v>
      </c>
      <c r="N11" s="37"/>
      <c r="O11" s="37"/>
    </row>
    <row r="12" customFormat="false" ht="15" hidden="false" customHeight="false" outlineLevel="0" collapsed="false">
      <c r="A12" s="16" t="s">
        <v>120</v>
      </c>
      <c r="B12" s="16" t="s">
        <v>121</v>
      </c>
      <c r="C12" s="16" t="s">
        <v>95</v>
      </c>
      <c r="D12" s="16" t="s">
        <v>122</v>
      </c>
      <c r="E12" s="33" t="n">
        <v>21000</v>
      </c>
      <c r="F12" s="17" t="n">
        <v>197000</v>
      </c>
      <c r="G12" s="16" t="s">
        <v>123</v>
      </c>
      <c r="H12" s="34" t="str">
        <f aca="false">A12</f>
        <v>MR-1008</v>
      </c>
      <c r="I12" s="35"/>
      <c r="J12" s="34" t="str">
        <f aca="false">C12</f>
        <v>Karachi Port</v>
      </c>
      <c r="K12" s="34" t="str">
        <f aca="false">D12</f>
        <v>Peshawar</v>
      </c>
      <c r="L12" s="36" t="n">
        <f aca="false">E12</f>
        <v>21000</v>
      </c>
      <c r="M12" s="36" t="n">
        <f aca="false">F12</f>
        <v>197000</v>
      </c>
      <c r="N12" s="37"/>
      <c r="O12" s="37"/>
    </row>
    <row r="13" customFormat="false" ht="15" hidden="false" customHeight="false" outlineLevel="0" collapsed="false">
      <c r="A13" s="16" t="s">
        <v>124</v>
      </c>
      <c r="B13" s="16" t="s">
        <v>125</v>
      </c>
      <c r="C13" s="16" t="s">
        <v>108</v>
      </c>
      <c r="D13" s="16" t="s">
        <v>126</v>
      </c>
      <c r="E13" s="33" t="n">
        <v>17500</v>
      </c>
      <c r="F13" s="17" t="n">
        <v>98000</v>
      </c>
      <c r="G13" s="16" t="s">
        <v>97</v>
      </c>
      <c r="H13" s="34" t="str">
        <f aca="false">A13</f>
        <v>MR-1009</v>
      </c>
      <c r="I13" s="35"/>
      <c r="J13" s="34" t="str">
        <f aca="false">C13</f>
        <v>Gwadar Port</v>
      </c>
      <c r="K13" s="34" t="str">
        <f aca="false">D13</f>
        <v>Karachi Cantt</v>
      </c>
      <c r="L13" s="36" t="n">
        <f aca="false">E13</f>
        <v>17500</v>
      </c>
      <c r="M13" s="36" t="n">
        <f aca="false">F13</f>
        <v>98000</v>
      </c>
      <c r="N13" s="37"/>
      <c r="O13" s="37"/>
    </row>
    <row r="14" customFormat="false" ht="15" hidden="false" customHeight="false" outlineLevel="0" collapsed="false">
      <c r="A14" s="16" t="s">
        <v>127</v>
      </c>
      <c r="B14" s="16" t="s">
        <v>128</v>
      </c>
      <c r="C14" s="16" t="s">
        <v>100</v>
      </c>
      <c r="D14" s="16" t="s">
        <v>129</v>
      </c>
      <c r="E14" s="33" t="n">
        <v>15500</v>
      </c>
      <c r="F14" s="17" t="n">
        <v>139000</v>
      </c>
      <c r="G14" s="16" t="s">
        <v>97</v>
      </c>
      <c r="H14" s="34" t="str">
        <f aca="false">A14</f>
        <v>MR-1010</v>
      </c>
      <c r="I14" s="35"/>
      <c r="J14" s="34" t="str">
        <f aca="false">C14</f>
        <v>Port Qasim</v>
      </c>
      <c r="K14" s="34" t="str">
        <f aca="false">D14</f>
        <v>Islamabad Dry Port</v>
      </c>
      <c r="L14" s="36" t="n">
        <f aca="false">E14</f>
        <v>15500</v>
      </c>
      <c r="M14" s="36" t="n">
        <f aca="false">F14</f>
        <v>139000</v>
      </c>
      <c r="N14" s="37"/>
      <c r="O14" s="37"/>
    </row>
    <row r="15" customFormat="false" ht="15" hidden="false" customHeight="false" outlineLevel="0" collapsed="false">
      <c r="A15" s="16" t="s">
        <v>130</v>
      </c>
      <c r="B15" s="16" t="s">
        <v>131</v>
      </c>
      <c r="C15" s="16" t="s">
        <v>95</v>
      </c>
      <c r="D15" s="16" t="s">
        <v>132</v>
      </c>
      <c r="E15" s="33" t="n">
        <v>13500</v>
      </c>
      <c r="F15" s="17" t="n">
        <v>61000</v>
      </c>
      <c r="G15" s="16" t="s">
        <v>105</v>
      </c>
      <c r="H15" s="34" t="str">
        <f aca="false">A15</f>
        <v>MR-1011</v>
      </c>
      <c r="I15" s="35"/>
      <c r="J15" s="34" t="str">
        <f aca="false">C15</f>
        <v>Karachi Port</v>
      </c>
      <c r="K15" s="34" t="str">
        <f aca="false">D15</f>
        <v>Hyderabad</v>
      </c>
      <c r="L15" s="36" t="n">
        <f aca="false">E15</f>
        <v>13500</v>
      </c>
      <c r="M15" s="36" t="n">
        <f aca="false">F15</f>
        <v>61000</v>
      </c>
      <c r="N15" s="37"/>
      <c r="O15" s="37"/>
    </row>
    <row r="16" customFormat="false" ht="15" hidden="false" customHeight="false" outlineLevel="0" collapsed="false">
      <c r="A16" s="16" t="s">
        <v>133</v>
      </c>
      <c r="B16" s="16" t="s">
        <v>134</v>
      </c>
      <c r="C16" s="16" t="s">
        <v>100</v>
      </c>
      <c r="D16" s="16" t="s">
        <v>96</v>
      </c>
      <c r="E16" s="33" t="n">
        <v>14000</v>
      </c>
      <c r="F16" s="17" t="n">
        <v>112000</v>
      </c>
      <c r="G16" s="16" t="s">
        <v>97</v>
      </c>
      <c r="H16" s="34" t="str">
        <f aca="false">A16</f>
        <v>MR-1012</v>
      </c>
      <c r="I16" s="35"/>
      <c r="J16" s="34" t="str">
        <f aca="false">C16</f>
        <v>Port Qasim</v>
      </c>
      <c r="K16" s="34" t="str">
        <f aca="false">D16</f>
        <v>Lahore Dry Port</v>
      </c>
      <c r="L16" s="36" t="n">
        <f aca="false">E16</f>
        <v>14000</v>
      </c>
      <c r="M16" s="36" t="n">
        <f aca="false">F16</f>
        <v>112000</v>
      </c>
      <c r="N16" s="37"/>
      <c r="O16" s="37"/>
    </row>
  </sheetData>
  <mergeCells count="3">
    <mergeCell ref="A2:P2"/>
    <mergeCell ref="A3:G3"/>
    <mergeCell ref="H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22"/>
    <col collapsed="false" customWidth="true" hidden="false" outlineLevel="0" max="18" min="18" style="0" width="110"/>
  </cols>
  <sheetData>
    <row r="1" customFormat="false" ht="27.75" hidden="false" customHeight="true" outlineLevel="0" collapsed="false">
      <c r="A1" s="1" t="s">
        <v>243</v>
      </c>
    </row>
    <row r="2" customFormat="false" ht="43.5" hidden="false" customHeight="true" outlineLevel="0" collapsed="false">
      <c r="A2" s="2" t="s">
        <v>244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1" t="s">
        <v>236</v>
      </c>
      <c r="B3" s="31"/>
      <c r="C3" s="31"/>
      <c r="D3" s="31"/>
      <c r="E3" s="31"/>
      <c r="F3" s="31"/>
      <c r="G3" s="31"/>
      <c r="H3" s="32" t="s">
        <v>237</v>
      </c>
      <c r="I3" s="32"/>
      <c r="J3" s="32"/>
      <c r="K3" s="32"/>
      <c r="L3" s="32"/>
      <c r="M3" s="32"/>
      <c r="N3" s="32"/>
      <c r="O3" s="32"/>
    </row>
    <row r="4" customFormat="false" ht="31.5" hidden="false" customHeight="true" outlineLevel="0" collapsed="false">
      <c r="A4" s="15" t="s">
        <v>137</v>
      </c>
      <c r="B4" s="15" t="s">
        <v>138</v>
      </c>
      <c r="C4" s="15" t="s">
        <v>139</v>
      </c>
      <c r="D4" s="15" t="s">
        <v>140</v>
      </c>
      <c r="E4" s="15" t="s">
        <v>141</v>
      </c>
      <c r="F4" s="15" t="s">
        <v>142</v>
      </c>
      <c r="G4" s="15" t="s">
        <v>81</v>
      </c>
      <c r="H4" s="6" t="s">
        <v>64</v>
      </c>
      <c r="I4" s="6" t="s">
        <v>68</v>
      </c>
      <c r="J4" s="6" t="s">
        <v>72</v>
      </c>
      <c r="K4" s="6" t="s">
        <v>73</v>
      </c>
      <c r="L4" s="6" t="s">
        <v>74</v>
      </c>
      <c r="M4" s="6" t="s">
        <v>78</v>
      </c>
      <c r="N4" s="6" t="s">
        <v>81</v>
      </c>
      <c r="O4" s="6" t="s">
        <v>84</v>
      </c>
      <c r="R4" s="27" t="s">
        <v>238</v>
      </c>
    </row>
    <row r="5" customFormat="false" ht="15" hidden="false" customHeight="false" outlineLevel="0" collapsed="false">
      <c r="A5" s="16" t="n">
        <v>45012</v>
      </c>
      <c r="B5" s="20" t="n">
        <v>46056</v>
      </c>
      <c r="C5" s="16" t="s">
        <v>126</v>
      </c>
      <c r="D5" s="16" t="s">
        <v>143</v>
      </c>
      <c r="E5" s="33" t="n">
        <v>32.5</v>
      </c>
      <c r="F5" s="17" t="n">
        <v>285000</v>
      </c>
      <c r="G5" s="16" t="s">
        <v>83</v>
      </c>
      <c r="H5" s="37"/>
      <c r="I5" s="39" t="n">
        <f aca="false">B5</f>
        <v>46056</v>
      </c>
      <c r="J5" s="34" t="str">
        <f aca="false">C5</f>
        <v>Karachi Cantt</v>
      </c>
      <c r="K5" s="34" t="str">
        <f aca="false">D5</f>
        <v>Lahore</v>
      </c>
      <c r="L5" s="40"/>
      <c r="M5" s="36" t="n">
        <f aca="false">F5</f>
        <v>285000</v>
      </c>
      <c r="N5" s="37"/>
      <c r="O5" s="37"/>
      <c r="R5" s="38" t="s">
        <v>245</v>
      </c>
    </row>
    <row r="6" customFormat="false" ht="15" hidden="false" customHeight="false" outlineLevel="0" collapsed="false">
      <c r="A6" s="16" t="n">
        <v>45013</v>
      </c>
      <c r="B6" s="20" t="n">
        <v>46056</v>
      </c>
      <c r="C6" s="16" t="s">
        <v>126</v>
      </c>
      <c r="D6" s="16" t="s">
        <v>144</v>
      </c>
      <c r="E6" s="33" t="n">
        <v>28.75</v>
      </c>
      <c r="F6" s="17" t="n">
        <v>301000</v>
      </c>
      <c r="G6" s="16" t="s">
        <v>145</v>
      </c>
      <c r="H6" s="37"/>
      <c r="I6" s="39" t="n">
        <f aca="false">B6</f>
        <v>46056</v>
      </c>
      <c r="J6" s="34" t="str">
        <f aca="false">C6</f>
        <v>Karachi Cantt</v>
      </c>
      <c r="K6" s="34" t="str">
        <f aca="false">D6</f>
        <v>Rawalpindi</v>
      </c>
      <c r="L6" s="40"/>
      <c r="M6" s="36" t="n">
        <f aca="false">F6</f>
        <v>301000</v>
      </c>
      <c r="N6" s="37"/>
      <c r="O6" s="37"/>
      <c r="R6" s="38" t="s">
        <v>246</v>
      </c>
    </row>
    <row r="7" customFormat="false" ht="15" hidden="false" customHeight="false" outlineLevel="0" collapsed="false">
      <c r="A7" s="16" t="n">
        <v>45014</v>
      </c>
      <c r="B7" s="20" t="n">
        <v>46057</v>
      </c>
      <c r="C7" s="16" t="s">
        <v>146</v>
      </c>
      <c r="D7" s="16" t="s">
        <v>147</v>
      </c>
      <c r="E7" s="33" t="n">
        <v>30</v>
      </c>
      <c r="F7" s="17" t="n">
        <v>262000</v>
      </c>
      <c r="G7" s="16" t="s">
        <v>148</v>
      </c>
      <c r="H7" s="37"/>
      <c r="I7" s="39" t="n">
        <f aca="false">B7</f>
        <v>46057</v>
      </c>
      <c r="J7" s="34" t="str">
        <f aca="false">C7</f>
        <v>Pipri Marshalling Yard</v>
      </c>
      <c r="K7" s="34" t="str">
        <f aca="false">D7</f>
        <v>Faisalabad</v>
      </c>
      <c r="L7" s="40"/>
      <c r="M7" s="36" t="n">
        <f aca="false">F7</f>
        <v>262000</v>
      </c>
      <c r="N7" s="37"/>
      <c r="O7" s="37"/>
      <c r="R7" s="38" t="s">
        <v>247</v>
      </c>
    </row>
    <row r="8" customFormat="false" ht="15" hidden="false" customHeight="false" outlineLevel="0" collapsed="false">
      <c r="A8" s="16" t="n">
        <v>45015</v>
      </c>
      <c r="B8" s="20" t="n">
        <v>46058</v>
      </c>
      <c r="C8" s="16" t="s">
        <v>126</v>
      </c>
      <c r="D8" s="16" t="s">
        <v>112</v>
      </c>
      <c r="E8" s="33" t="n">
        <v>26.5</v>
      </c>
      <c r="F8" s="17" t="n">
        <v>198000</v>
      </c>
      <c r="G8" s="16" t="s">
        <v>149</v>
      </c>
      <c r="H8" s="37"/>
      <c r="I8" s="39" t="n">
        <f aca="false">B8</f>
        <v>46058</v>
      </c>
      <c r="J8" s="34" t="str">
        <f aca="false">C8</f>
        <v>Karachi Cantt</v>
      </c>
      <c r="K8" s="34" t="str">
        <f aca="false">D8</f>
        <v>Multan</v>
      </c>
      <c r="L8" s="40"/>
      <c r="M8" s="36" t="n">
        <f aca="false">F8</f>
        <v>198000</v>
      </c>
      <c r="N8" s="37"/>
      <c r="O8" s="37"/>
      <c r="R8" s="38" t="s">
        <v>248</v>
      </c>
    </row>
    <row r="9" customFormat="false" ht="15" hidden="false" customHeight="false" outlineLevel="0" collapsed="false">
      <c r="A9" s="16" t="n">
        <v>45016</v>
      </c>
      <c r="B9" s="20" t="n">
        <v>46059</v>
      </c>
      <c r="C9" s="16" t="s">
        <v>146</v>
      </c>
      <c r="D9" s="16" t="s">
        <v>143</v>
      </c>
      <c r="E9" s="33" t="n">
        <v>31.25</v>
      </c>
      <c r="F9" s="17" t="n">
        <v>276000</v>
      </c>
      <c r="G9" s="16" t="s">
        <v>117</v>
      </c>
      <c r="H9" s="37"/>
      <c r="I9" s="39" t="n">
        <f aca="false">B9</f>
        <v>46059</v>
      </c>
      <c r="J9" s="34" t="str">
        <f aca="false">C9</f>
        <v>Pipri Marshalling Yard</v>
      </c>
      <c r="K9" s="34" t="str">
        <f aca="false">D9</f>
        <v>Lahore</v>
      </c>
      <c r="L9" s="40"/>
      <c r="M9" s="36" t="n">
        <f aca="false">F9</f>
        <v>276000</v>
      </c>
      <c r="N9" s="37"/>
      <c r="O9" s="37"/>
    </row>
    <row r="10" customFormat="false" ht="15" hidden="false" customHeight="false" outlineLevel="0" collapsed="false">
      <c r="A10" s="16" t="n">
        <v>45017</v>
      </c>
      <c r="B10" s="20" t="n">
        <v>46060</v>
      </c>
      <c r="C10" s="16" t="s">
        <v>126</v>
      </c>
      <c r="D10" s="16" t="s">
        <v>150</v>
      </c>
      <c r="E10" s="33" t="n">
        <v>29</v>
      </c>
      <c r="F10" s="17" t="n">
        <v>334000</v>
      </c>
      <c r="G10" s="16" t="s">
        <v>151</v>
      </c>
      <c r="H10" s="37"/>
      <c r="I10" s="39" t="n">
        <f aca="false">B10</f>
        <v>46060</v>
      </c>
      <c r="J10" s="34" t="str">
        <f aca="false">C10</f>
        <v>Karachi Cantt</v>
      </c>
      <c r="K10" s="34" t="str">
        <f aca="false">D10</f>
        <v>Peshawar Cantt</v>
      </c>
      <c r="L10" s="40"/>
      <c r="M10" s="36" t="n">
        <f aca="false">F10</f>
        <v>334000</v>
      </c>
      <c r="N10" s="37"/>
      <c r="O10" s="37"/>
    </row>
    <row r="11" customFormat="false" ht="15" hidden="false" customHeight="false" outlineLevel="0" collapsed="false">
      <c r="A11" s="16" t="n">
        <v>45018</v>
      </c>
      <c r="B11" s="20" t="n">
        <v>46062</v>
      </c>
      <c r="C11" s="16" t="s">
        <v>146</v>
      </c>
      <c r="D11" s="16" t="s">
        <v>144</v>
      </c>
      <c r="E11" s="33" t="n">
        <v>27.5</v>
      </c>
      <c r="F11" s="17" t="n">
        <v>289000</v>
      </c>
      <c r="G11" s="16" t="s">
        <v>152</v>
      </c>
      <c r="H11" s="37"/>
      <c r="I11" s="39" t="n">
        <f aca="false">B11</f>
        <v>46062</v>
      </c>
      <c r="J11" s="34" t="str">
        <f aca="false">C11</f>
        <v>Pipri Marshalling Yard</v>
      </c>
      <c r="K11" s="34" t="str">
        <f aca="false">D11</f>
        <v>Rawalpindi</v>
      </c>
      <c r="L11" s="40"/>
      <c r="M11" s="36" t="n">
        <f aca="false">F11</f>
        <v>289000</v>
      </c>
      <c r="N11" s="37"/>
      <c r="O11" s="37"/>
    </row>
    <row r="12" customFormat="false" ht="15" hidden="false" customHeight="false" outlineLevel="0" collapsed="false">
      <c r="A12" s="16" t="n">
        <v>45019</v>
      </c>
      <c r="B12" s="20" t="n">
        <v>46063</v>
      </c>
      <c r="C12" s="16" t="s">
        <v>126</v>
      </c>
      <c r="D12" s="16" t="s">
        <v>143</v>
      </c>
      <c r="E12" s="33" t="n">
        <v>33</v>
      </c>
      <c r="F12" s="17" t="n">
        <v>291000</v>
      </c>
      <c r="G12" s="16" t="s">
        <v>83</v>
      </c>
      <c r="H12" s="37"/>
      <c r="I12" s="39" t="n">
        <f aca="false">B12</f>
        <v>46063</v>
      </c>
      <c r="J12" s="34" t="str">
        <f aca="false">C12</f>
        <v>Karachi Cantt</v>
      </c>
      <c r="K12" s="34" t="str">
        <f aca="false">D12</f>
        <v>Lahore</v>
      </c>
      <c r="L12" s="40"/>
      <c r="M12" s="36" t="n">
        <f aca="false">F12</f>
        <v>291000</v>
      </c>
      <c r="N12" s="37"/>
      <c r="O12" s="37"/>
    </row>
    <row r="13" customFormat="false" ht="15" hidden="false" customHeight="false" outlineLevel="0" collapsed="false">
      <c r="A13" s="16" t="n">
        <v>45020</v>
      </c>
      <c r="B13" s="20" t="n">
        <v>46064</v>
      </c>
      <c r="C13" s="16" t="s">
        <v>126</v>
      </c>
      <c r="D13" s="16" t="s">
        <v>153</v>
      </c>
      <c r="E13" s="33" t="n">
        <v>28.25</v>
      </c>
      <c r="F13" s="17" t="n">
        <v>142000</v>
      </c>
      <c r="G13" s="16" t="s">
        <v>154</v>
      </c>
      <c r="H13" s="37"/>
      <c r="I13" s="39" t="n">
        <f aca="false">B13</f>
        <v>46064</v>
      </c>
      <c r="J13" s="34" t="str">
        <f aca="false">C13</f>
        <v>Karachi Cantt</v>
      </c>
      <c r="K13" s="34" t="str">
        <f aca="false">D13</f>
        <v>Sukkur</v>
      </c>
      <c r="L13" s="40"/>
      <c r="M13" s="36" t="n">
        <f aca="false">F13</f>
        <v>142000</v>
      </c>
      <c r="N13" s="37"/>
      <c r="O13" s="37"/>
    </row>
    <row r="14" customFormat="false" ht="15" hidden="false" customHeight="false" outlineLevel="0" collapsed="false">
      <c r="A14" s="16" t="n">
        <v>45021</v>
      </c>
      <c r="B14" s="20" t="n">
        <v>46065</v>
      </c>
      <c r="C14" s="16" t="s">
        <v>146</v>
      </c>
      <c r="D14" s="16" t="s">
        <v>112</v>
      </c>
      <c r="E14" s="33" t="n">
        <v>28.5</v>
      </c>
      <c r="F14" s="17" t="n">
        <v>207000</v>
      </c>
      <c r="G14" s="16" t="s">
        <v>145</v>
      </c>
      <c r="H14" s="37"/>
      <c r="I14" s="39" t="n">
        <f aca="false">B14</f>
        <v>46065</v>
      </c>
      <c r="J14" s="34" t="str">
        <f aca="false">C14</f>
        <v>Pipri Marshalling Yard</v>
      </c>
      <c r="K14" s="34" t="str">
        <f aca="false">D14</f>
        <v>Multan</v>
      </c>
      <c r="L14" s="40"/>
      <c r="M14" s="36" t="n">
        <f aca="false">F14</f>
        <v>207000</v>
      </c>
      <c r="N14" s="37"/>
      <c r="O14" s="37"/>
    </row>
  </sheetData>
  <mergeCells count="3">
    <mergeCell ref="A2:P2"/>
    <mergeCell ref="A3:G3"/>
    <mergeCell ref="H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4" min="12" style="0" width="11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22"/>
    <col collapsed="false" customWidth="true" hidden="false" outlineLevel="0" max="18" min="18" style="0" width="110"/>
  </cols>
  <sheetData>
    <row r="1" customFormat="false" ht="27.75" hidden="false" customHeight="true" outlineLevel="0" collapsed="false">
      <c r="A1" s="1" t="s">
        <v>249</v>
      </c>
    </row>
    <row r="2" customFormat="false" ht="43.5" hidden="false" customHeight="true" outlineLevel="0" collapsed="false">
      <c r="A2" s="2" t="s">
        <v>250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1" t="s">
        <v>236</v>
      </c>
      <c r="B3" s="31"/>
      <c r="C3" s="31"/>
      <c r="D3" s="31"/>
      <c r="E3" s="31"/>
      <c r="F3" s="31"/>
      <c r="G3" s="31"/>
      <c r="H3" s="32" t="s">
        <v>237</v>
      </c>
      <c r="I3" s="32"/>
      <c r="J3" s="32"/>
      <c r="K3" s="32"/>
      <c r="L3" s="32"/>
      <c r="M3" s="32"/>
      <c r="N3" s="32"/>
      <c r="O3" s="32"/>
    </row>
    <row r="4" customFormat="false" ht="31.5" hidden="false" customHeight="true" outlineLevel="0" collapsed="false">
      <c r="A4" s="15" t="s">
        <v>155</v>
      </c>
      <c r="B4" s="15" t="s">
        <v>156</v>
      </c>
      <c r="C4" s="15" t="s">
        <v>157</v>
      </c>
      <c r="D4" s="15" t="s">
        <v>158</v>
      </c>
      <c r="E4" s="15" t="s">
        <v>159</v>
      </c>
      <c r="F4" s="15" t="s">
        <v>160</v>
      </c>
      <c r="G4" s="15" t="s">
        <v>161</v>
      </c>
      <c r="H4" s="6" t="s">
        <v>64</v>
      </c>
      <c r="I4" s="6" t="s">
        <v>68</v>
      </c>
      <c r="J4" s="6" t="s">
        <v>72</v>
      </c>
      <c r="K4" s="6" t="s">
        <v>73</v>
      </c>
      <c r="L4" s="6" t="s">
        <v>74</v>
      </c>
      <c r="M4" s="6" t="s">
        <v>78</v>
      </c>
      <c r="N4" s="6" t="s">
        <v>81</v>
      </c>
      <c r="O4" s="6" t="s">
        <v>84</v>
      </c>
      <c r="P4" s="41" t="s">
        <v>251</v>
      </c>
      <c r="Q4" s="41" t="s">
        <v>252</v>
      </c>
      <c r="R4" s="27" t="s">
        <v>238</v>
      </c>
    </row>
    <row r="5" customFormat="false" ht="15" hidden="false" customHeight="false" outlineLevel="0" collapsed="false">
      <c r="A5" s="16" t="s">
        <v>162</v>
      </c>
      <c r="B5" s="16" t="s">
        <v>163</v>
      </c>
      <c r="C5" s="16" t="s">
        <v>143</v>
      </c>
      <c r="D5" s="16" t="s">
        <v>164</v>
      </c>
      <c r="E5" s="33" t="n">
        <v>6500</v>
      </c>
      <c r="F5" s="17" t="n">
        <v>58000</v>
      </c>
      <c r="G5" s="16" t="s">
        <v>145</v>
      </c>
      <c r="H5" s="37"/>
      <c r="I5" s="35"/>
      <c r="J5" s="34" t="str">
        <f aca="false">IF(C5="","",C5)</f>
        <v>Lahore</v>
      </c>
      <c r="K5" s="34" t="str">
        <f aca="false">IF(D5="","",D5)</f>
        <v>Islamabad</v>
      </c>
      <c r="L5" s="36" t="n">
        <f aca="false">IF(E5="","",E5)</f>
        <v>6500</v>
      </c>
      <c r="M5" s="36" t="n">
        <f aca="false">IF(F5="","",F5)</f>
        <v>58000</v>
      </c>
      <c r="N5" s="37"/>
      <c r="O5" s="37"/>
      <c r="P5" s="37"/>
      <c r="Q5" s="37"/>
      <c r="R5" s="38" t="s">
        <v>253</v>
      </c>
    </row>
    <row r="6" customFormat="false" ht="15" hidden="false" customHeight="false" outlineLevel="0" collapsed="false">
      <c r="A6" s="16" t="s">
        <v>165</v>
      </c>
      <c r="B6" s="16" t="s">
        <v>163</v>
      </c>
      <c r="C6" s="16" t="s">
        <v>166</v>
      </c>
      <c r="D6" s="16" t="s">
        <v>132</v>
      </c>
      <c r="E6" s="33" t="n">
        <v>7200</v>
      </c>
      <c r="F6" s="17" t="n">
        <v>41000</v>
      </c>
      <c r="G6" s="16" t="s">
        <v>145</v>
      </c>
      <c r="H6" s="37"/>
      <c r="I6" s="35"/>
      <c r="J6" s="34" t="str">
        <f aca="false">IF(C6="","",C6)</f>
        <v>Karachi</v>
      </c>
      <c r="K6" s="34" t="str">
        <f aca="false">IF(D6="","",D6)</f>
        <v>Hyderabad</v>
      </c>
      <c r="L6" s="36" t="n">
        <f aca="false">IF(E6="","",E6)</f>
        <v>7200</v>
      </c>
      <c r="M6" s="36" t="n">
        <f aca="false">IF(F6="","",F6)</f>
        <v>41000</v>
      </c>
      <c r="N6" s="37"/>
      <c r="O6" s="37"/>
      <c r="P6" s="37"/>
      <c r="Q6" s="37"/>
      <c r="R6" s="38" t="s">
        <v>254</v>
      </c>
    </row>
    <row r="7" customFormat="false" ht="15" hidden="false" customHeight="false" outlineLevel="0" collapsed="false">
      <c r="A7" s="16" t="s">
        <v>167</v>
      </c>
      <c r="B7" s="16" t="s">
        <v>168</v>
      </c>
      <c r="C7" s="16" t="s">
        <v>143</v>
      </c>
      <c r="D7" s="16" t="s">
        <v>147</v>
      </c>
      <c r="E7" s="33" t="n">
        <v>5800</v>
      </c>
      <c r="F7" s="17" t="n">
        <v>32000</v>
      </c>
      <c r="G7" s="16" t="s">
        <v>169</v>
      </c>
      <c r="H7" s="37"/>
      <c r="I7" s="35"/>
      <c r="J7" s="34" t="str">
        <f aca="false">IF(C7="","",C7)</f>
        <v>Lahore</v>
      </c>
      <c r="K7" s="34" t="str">
        <f aca="false">IF(D7="","",D7)</f>
        <v>Faisalabad</v>
      </c>
      <c r="L7" s="36" t="n">
        <f aca="false">IF(E7="","",E7)</f>
        <v>5800</v>
      </c>
      <c r="M7" s="36" t="n">
        <f aca="false">IF(F7="","",F7)</f>
        <v>32000</v>
      </c>
      <c r="N7" s="37"/>
      <c r="O7" s="37"/>
      <c r="P7" s="37"/>
      <c r="Q7" s="37"/>
      <c r="R7" s="38" t="s">
        <v>255</v>
      </c>
    </row>
    <row r="8" customFormat="false" ht="15" hidden="false" customHeight="false" outlineLevel="0" collapsed="false">
      <c r="A8" s="16" t="s">
        <v>170</v>
      </c>
      <c r="B8" s="16" t="s">
        <v>171</v>
      </c>
      <c r="C8" s="16" t="s">
        <v>112</v>
      </c>
      <c r="D8" s="16" t="s">
        <v>143</v>
      </c>
      <c r="E8" s="33" t="n">
        <v>6900</v>
      </c>
      <c r="F8" s="17" t="n">
        <v>61000</v>
      </c>
      <c r="G8" s="16" t="s">
        <v>145</v>
      </c>
      <c r="H8" s="37"/>
      <c r="I8" s="35"/>
      <c r="J8" s="34" t="str">
        <f aca="false">IF(C8="","",C8)</f>
        <v>Multan</v>
      </c>
      <c r="K8" s="34" t="str">
        <f aca="false">IF(D8="","",D8)</f>
        <v>Lahore</v>
      </c>
      <c r="L8" s="36" t="n">
        <f aca="false">IF(E8="","",E8)</f>
        <v>6900</v>
      </c>
      <c r="M8" s="36" t="n">
        <f aca="false">IF(F8="","",F8)</f>
        <v>61000</v>
      </c>
      <c r="N8" s="37"/>
      <c r="O8" s="37"/>
      <c r="P8" s="37"/>
      <c r="Q8" s="37"/>
      <c r="R8" s="38" t="s">
        <v>256</v>
      </c>
    </row>
    <row r="9" customFormat="false" ht="15" hidden="false" customHeight="false" outlineLevel="0" collapsed="false">
      <c r="A9" s="16" t="s">
        <v>172</v>
      </c>
      <c r="B9" s="16" t="s">
        <v>173</v>
      </c>
      <c r="C9" s="16" t="s">
        <v>164</v>
      </c>
      <c r="D9" s="16" t="s">
        <v>122</v>
      </c>
      <c r="E9" s="33" t="n">
        <v>6100</v>
      </c>
      <c r="F9" s="17" t="n">
        <v>47000</v>
      </c>
      <c r="G9" s="16" t="s">
        <v>145</v>
      </c>
      <c r="H9" s="37"/>
      <c r="I9" s="35"/>
      <c r="J9" s="34" t="str">
        <f aca="false">IF(C9="","",C9)</f>
        <v>Islamabad</v>
      </c>
      <c r="K9" s="34" t="str">
        <f aca="false">IF(D9="","",D9)</f>
        <v>Peshawar</v>
      </c>
      <c r="L9" s="36" t="n">
        <f aca="false">IF(E9="","",E9)</f>
        <v>6100</v>
      </c>
      <c r="M9" s="36" t="n">
        <f aca="false">IF(F9="","",F9)</f>
        <v>47000</v>
      </c>
      <c r="N9" s="37"/>
      <c r="O9" s="37"/>
      <c r="P9" s="37"/>
      <c r="Q9" s="37"/>
      <c r="R9" s="38" t="s">
        <v>257</v>
      </c>
    </row>
    <row r="10" customFormat="false" ht="15" hidden="false" customHeight="false" outlineLevel="0" collapsed="false">
      <c r="A10" s="16" t="s">
        <v>172</v>
      </c>
      <c r="B10" s="16" t="s">
        <v>173</v>
      </c>
      <c r="C10" s="16" t="s">
        <v>164</v>
      </c>
      <c r="D10" s="16" t="s">
        <v>122</v>
      </c>
      <c r="E10" s="33" t="n">
        <v>6100</v>
      </c>
      <c r="F10" s="17" t="n">
        <v>47000</v>
      </c>
      <c r="G10" s="16" t="s">
        <v>145</v>
      </c>
      <c r="H10" s="37"/>
      <c r="I10" s="35"/>
      <c r="J10" s="34" t="str">
        <f aca="false">IF(C10="","",C10)</f>
        <v>Islamabad</v>
      </c>
      <c r="K10" s="34" t="str">
        <f aca="false">IF(D10="","",D10)</f>
        <v>Peshawar</v>
      </c>
      <c r="L10" s="36" t="n">
        <f aca="false">IF(E10="","",E10)</f>
        <v>6100</v>
      </c>
      <c r="M10" s="36" t="n">
        <f aca="false">IF(F10="","",F10)</f>
        <v>47000</v>
      </c>
      <c r="N10" s="37"/>
      <c r="O10" s="37"/>
      <c r="P10" s="37"/>
      <c r="Q10" s="37"/>
    </row>
    <row r="11" customFormat="false" ht="15" hidden="false" customHeight="false" outlineLevel="0" collapsed="false">
      <c r="A11" s="16" t="s">
        <v>174</v>
      </c>
      <c r="B11" s="16" t="s">
        <v>175</v>
      </c>
      <c r="C11" s="16" t="s">
        <v>166</v>
      </c>
      <c r="D11" s="16" t="s">
        <v>153</v>
      </c>
      <c r="E11" s="33" t="n">
        <v>7400</v>
      </c>
      <c r="F11" s="17" t="n">
        <v>83000</v>
      </c>
      <c r="G11" s="16" t="s">
        <v>152</v>
      </c>
      <c r="H11" s="37"/>
      <c r="I11" s="35"/>
      <c r="J11" s="34" t="str">
        <f aca="false">IF(C11="","",C11)</f>
        <v>Karachi</v>
      </c>
      <c r="K11" s="34" t="str">
        <f aca="false">IF(D11="","",D11)</f>
        <v>Sukkur</v>
      </c>
      <c r="L11" s="36" t="n">
        <f aca="false">IF(E11="","",E11)</f>
        <v>7400</v>
      </c>
      <c r="M11" s="36" t="n">
        <f aca="false">IF(F11="","",F11)</f>
        <v>83000</v>
      </c>
      <c r="N11" s="37"/>
      <c r="O11" s="37"/>
      <c r="P11" s="37"/>
      <c r="Q11" s="37"/>
    </row>
    <row r="12" customFormat="false" ht="15" hidden="false" customHeight="false" outlineLevel="0" collapsed="false">
      <c r="A12" s="16" t="s">
        <v>176</v>
      </c>
      <c r="B12" s="16" t="s">
        <v>177</v>
      </c>
      <c r="C12" s="16" t="s">
        <v>143</v>
      </c>
      <c r="D12" s="16" t="s">
        <v>178</v>
      </c>
      <c r="E12" s="33" t="n">
        <v>5900</v>
      </c>
      <c r="F12" s="17" t="n">
        <v>39000</v>
      </c>
      <c r="G12" s="16" t="s">
        <v>145</v>
      </c>
      <c r="H12" s="37"/>
      <c r="I12" s="35"/>
      <c r="J12" s="34" t="str">
        <f aca="false">IF(C12="","",C12)</f>
        <v>Lahore</v>
      </c>
      <c r="K12" s="34" t="str">
        <f aca="false">IF(D12="","",D12)</f>
        <v>Sialkot</v>
      </c>
      <c r="L12" s="36" t="n">
        <f aca="false">IF(E12="","",E12)</f>
        <v>5900</v>
      </c>
      <c r="M12" s="36" t="n">
        <f aca="false">IF(F12="","",F12)</f>
        <v>39000</v>
      </c>
      <c r="N12" s="37"/>
      <c r="O12" s="37"/>
      <c r="P12" s="37"/>
      <c r="Q12" s="37"/>
    </row>
    <row r="13" customFormat="false" ht="15" hidden="false" customHeight="false" outlineLevel="0" collapsed="false">
      <c r="A13" s="16" t="s">
        <v>179</v>
      </c>
      <c r="B13" s="16" t="s">
        <v>180</v>
      </c>
      <c r="C13" s="16" t="s">
        <v>109</v>
      </c>
      <c r="D13" s="16" t="s">
        <v>166</v>
      </c>
      <c r="E13" s="33" t="n">
        <v>6600</v>
      </c>
      <c r="F13" s="17" t="n">
        <v>92000</v>
      </c>
      <c r="G13" s="16" t="s">
        <v>181</v>
      </c>
      <c r="H13" s="37"/>
      <c r="I13" s="35"/>
      <c r="J13" s="34" t="str">
        <f aca="false">IF(C13="","",C13)</f>
        <v>Quetta</v>
      </c>
      <c r="K13" s="34" t="str">
        <f aca="false">IF(D13="","",D13)</f>
        <v>Karachi</v>
      </c>
      <c r="L13" s="36" t="n">
        <f aca="false">IF(E13="","",E13)</f>
        <v>6600</v>
      </c>
      <c r="M13" s="36" t="n">
        <f aca="false">IF(F13="","",F13)</f>
        <v>92000</v>
      </c>
      <c r="N13" s="37"/>
      <c r="O13" s="37"/>
      <c r="P13" s="37"/>
      <c r="Q13" s="37"/>
    </row>
    <row r="14" customFormat="false" ht="15" hidden="false" customHeight="false" outlineLevel="0" collapsed="false">
      <c r="A14" s="16" t="s">
        <v>182</v>
      </c>
      <c r="B14" s="16" t="s">
        <v>183</v>
      </c>
      <c r="C14" s="16" t="s">
        <v>147</v>
      </c>
      <c r="D14" s="16" t="s">
        <v>112</v>
      </c>
      <c r="E14" s="33" t="n">
        <v>6200</v>
      </c>
      <c r="F14" s="17" t="n">
        <v>44000</v>
      </c>
      <c r="G14" s="16" t="s">
        <v>184</v>
      </c>
      <c r="H14" s="37"/>
      <c r="I14" s="35"/>
      <c r="J14" s="34" t="str">
        <f aca="false">IF(C14="","",C14)</f>
        <v>Faisalabad</v>
      </c>
      <c r="K14" s="34" t="str">
        <f aca="false">IF(D14="","",D14)</f>
        <v>Multan</v>
      </c>
      <c r="L14" s="36" t="n">
        <f aca="false">IF(E14="","",E14)</f>
        <v>6200</v>
      </c>
      <c r="M14" s="36" t="n">
        <f aca="false">IF(F14="","",F14)</f>
        <v>44000</v>
      </c>
      <c r="N14" s="37"/>
      <c r="O14" s="37"/>
      <c r="P14" s="37"/>
      <c r="Q14" s="37"/>
    </row>
    <row r="15" customFormat="false" ht="15" hidden="false" customHeight="false" outlineLevel="0" collapsed="false">
      <c r="A15" s="16" t="s">
        <v>185</v>
      </c>
      <c r="B15" s="16" t="s">
        <v>186</v>
      </c>
      <c r="C15" s="16" t="s">
        <v>143</v>
      </c>
      <c r="D15" s="16" t="s">
        <v>187</v>
      </c>
      <c r="E15" s="33" t="n">
        <v>7000</v>
      </c>
      <c r="F15" s="17" t="n">
        <v>27000</v>
      </c>
      <c r="G15" s="16" t="s">
        <v>145</v>
      </c>
      <c r="H15" s="37"/>
      <c r="I15" s="35"/>
      <c r="J15" s="34" t="str">
        <f aca="false">IF(C15="","",C15)</f>
        <v>Lahore</v>
      </c>
      <c r="K15" s="34" t="str">
        <f aca="false">IF(D15="","",D15)</f>
        <v>Gujranwala</v>
      </c>
      <c r="L15" s="36" t="n">
        <f aca="false">IF(E15="","",E15)</f>
        <v>7000</v>
      </c>
      <c r="M15" s="36" t="n">
        <f aca="false">IF(F15="","",F15)</f>
        <v>27000</v>
      </c>
      <c r="N15" s="37"/>
      <c r="O15" s="37"/>
      <c r="P15" s="37"/>
      <c r="Q15" s="37"/>
    </row>
    <row r="16" customFormat="false" ht="15" hidden="false" customHeight="false" outlineLevel="0" collapsed="false">
      <c r="A16" s="16" t="s">
        <v>188</v>
      </c>
      <c r="B16" s="16" t="s">
        <v>189</v>
      </c>
      <c r="C16" s="16" t="s">
        <v>166</v>
      </c>
      <c r="D16" s="16" t="s">
        <v>132</v>
      </c>
      <c r="E16" s="33" t="n">
        <v>5500</v>
      </c>
      <c r="F16" s="17" t="n">
        <v>36000</v>
      </c>
      <c r="G16" s="16" t="s">
        <v>190</v>
      </c>
      <c r="H16" s="37"/>
      <c r="I16" s="35"/>
      <c r="J16" s="34" t="str">
        <f aca="false">IF(C16="","",C16)</f>
        <v>Karachi</v>
      </c>
      <c r="K16" s="34" t="str">
        <f aca="false">IF(D16="","",D16)</f>
        <v>Hyderabad</v>
      </c>
      <c r="L16" s="36" t="n">
        <f aca="false">IF(E16="","",E16)</f>
        <v>5500</v>
      </c>
      <c r="M16" s="36" t="n">
        <f aca="false">IF(F16="","",F16)</f>
        <v>36000</v>
      </c>
      <c r="N16" s="37"/>
      <c r="O16" s="37"/>
      <c r="P16" s="37"/>
      <c r="Q16" s="37"/>
    </row>
    <row r="17" customFormat="false" ht="15" hidden="false" customHeight="false" outlineLevel="0" collapsed="false">
      <c r="A17" s="16" t="s">
        <v>191</v>
      </c>
      <c r="B17" s="16" t="s">
        <v>192</v>
      </c>
      <c r="C17" s="16" t="s">
        <v>144</v>
      </c>
      <c r="D17" s="16" t="s">
        <v>193</v>
      </c>
      <c r="E17" s="33" t="n">
        <v>5800</v>
      </c>
      <c r="F17" s="17" t="n">
        <v>45000</v>
      </c>
      <c r="G17" s="16" t="s">
        <v>145</v>
      </c>
      <c r="H17" s="37"/>
      <c r="I17" s="35"/>
      <c r="J17" s="34" t="str">
        <f aca="false">IF(C17="","",C17)</f>
        <v>Rawalpindi</v>
      </c>
      <c r="K17" s="34" t="str">
        <f aca="false">IF(D17="","",D17)</f>
        <v>Abbottabad</v>
      </c>
      <c r="L17" s="36" t="n">
        <f aca="false">IF(E17="","",E17)</f>
        <v>5800</v>
      </c>
      <c r="M17" s="36" t="n">
        <f aca="false">IF(F17="","",F17)</f>
        <v>45000</v>
      </c>
      <c r="N17" s="37"/>
      <c r="O17" s="37"/>
      <c r="P17" s="37"/>
      <c r="Q17" s="37"/>
    </row>
    <row r="18" customFormat="false" ht="15" hidden="false" customHeight="false" outlineLevel="0" collapsed="false">
      <c r="A18" s="16"/>
      <c r="B18" s="16"/>
      <c r="C18" s="16"/>
      <c r="D18" s="16"/>
      <c r="E18" s="33"/>
      <c r="F18" s="17"/>
      <c r="G18" s="16"/>
      <c r="H18" s="37"/>
      <c r="I18" s="35"/>
      <c r="J18" s="34" t="str">
        <f aca="false">IF(C18="","",C18)</f>
        <v/>
      </c>
      <c r="K18" s="34" t="str">
        <f aca="false">IF(D18="","",D18)</f>
        <v/>
      </c>
      <c r="L18" s="36" t="str">
        <f aca="false">IF(E18="","",E18)</f>
        <v/>
      </c>
      <c r="M18" s="36" t="str">
        <f aca="false">IF(F18="","",F18)</f>
        <v/>
      </c>
      <c r="N18" s="37"/>
      <c r="O18" s="37"/>
      <c r="P18" s="37"/>
      <c r="Q18" s="37"/>
    </row>
    <row r="19" customFormat="false" ht="15" hidden="false" customHeight="false" outlineLevel="0" collapsed="false">
      <c r="A19" s="16" t="s">
        <v>194</v>
      </c>
      <c r="B19" s="16"/>
      <c r="C19" s="16"/>
      <c r="D19" s="16"/>
      <c r="E19" s="33" t="n">
        <v>83000</v>
      </c>
      <c r="F19" s="17" t="n">
        <v>652000</v>
      </c>
      <c r="G19" s="16"/>
      <c r="H19" s="37"/>
      <c r="I19" s="35"/>
      <c r="J19" s="34" t="str">
        <f aca="false">IF(C19="","",C19)</f>
        <v/>
      </c>
      <c r="K19" s="34" t="str">
        <f aca="false">IF(D19="","",D19)</f>
        <v/>
      </c>
      <c r="L19" s="36" t="n">
        <f aca="false">IF(E19="","",E19)</f>
        <v>83000</v>
      </c>
      <c r="M19" s="36" t="n">
        <f aca="false">IF(F19="","",F19)</f>
        <v>652000</v>
      </c>
      <c r="N19" s="37"/>
      <c r="O19" s="37"/>
      <c r="P19" s="37"/>
      <c r="Q19" s="37"/>
    </row>
  </sheetData>
  <mergeCells count="3">
    <mergeCell ref="A2:P2"/>
    <mergeCell ref="A3:G3"/>
    <mergeCell ref="H3:O3"/>
  </mergeCells>
  <dataValidations count="1">
    <dataValidation allowBlank="true" errorStyle="stop" operator="between" showDropDown="false" showErrorMessage="false" showInputMessage="false" sqref="P5:P19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27.75" hidden="false" customHeight="true" outlineLevel="0" collapsed="false">
      <c r="A1" s="1" t="s">
        <v>258</v>
      </c>
    </row>
    <row r="2" customFormat="false" ht="43.5" hidden="false" customHeight="true" outlineLevel="0" collapsed="false">
      <c r="A2" s="2" t="s">
        <v>259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260</v>
      </c>
      <c r="B4" s="6" t="s">
        <v>261</v>
      </c>
      <c r="C4" s="6" t="s">
        <v>262</v>
      </c>
      <c r="D4" s="6" t="s">
        <v>263</v>
      </c>
      <c r="E4" s="6" t="s">
        <v>264</v>
      </c>
      <c r="F4" s="6" t="s">
        <v>265</v>
      </c>
      <c r="G4" s="6" t="s">
        <v>266</v>
      </c>
      <c r="H4" s="6" t="s">
        <v>267</v>
      </c>
    </row>
    <row r="5" customFormat="false" ht="15" hidden="false" customHeight="false" outlineLevel="0" collapsed="false">
      <c r="A5" s="8" t="s">
        <v>203</v>
      </c>
      <c r="B5" s="7" t="n">
        <f aca="false">ROWS('T3a Marine_Stg'!A5:A16)</f>
        <v>12</v>
      </c>
      <c r="C5" s="7" t="n">
        <f aca="false">0</f>
        <v>0</v>
      </c>
      <c r="D5" s="7" t="n">
        <f aca="false">COUNT('T3a Marine_Stg'!L5:L16)</f>
        <v>12</v>
      </c>
      <c r="E5" s="42" t="n">
        <v>12</v>
      </c>
      <c r="F5" s="43" t="n">
        <f aca="false">SUM('T3a Marine_Stg'!L5:L16)</f>
        <v>206500</v>
      </c>
      <c r="G5" s="44" t="n">
        <v>206500</v>
      </c>
      <c r="H5" s="7" t="str">
        <f aca="false">IF(AND(D5=E5,ABS(F5-G5)&lt;0.5),"✔ OK","✘ Fix it")</f>
        <v>✔ OK</v>
      </c>
    </row>
    <row r="6" customFormat="false" ht="15" hidden="false" customHeight="false" outlineLevel="0" collapsed="false">
      <c r="A6" s="8" t="s">
        <v>86</v>
      </c>
      <c r="B6" s="7" t="n">
        <f aca="false">ROWS('T3b Rail_Stg'!A5:A14)</f>
        <v>10</v>
      </c>
      <c r="C6" s="7" t="n">
        <f aca="false">0</f>
        <v>0</v>
      </c>
      <c r="D6" s="7" t="n">
        <f aca="false">COUNT('T3b Rail_Stg'!L5:L14)</f>
        <v>0</v>
      </c>
      <c r="E6" s="42" t="n">
        <v>10</v>
      </c>
      <c r="F6" s="43" t="n">
        <f aca="false">SUM('T3b Rail_Stg'!L5:L14)</f>
        <v>0</v>
      </c>
      <c r="G6" s="44" t="n">
        <v>295250</v>
      </c>
      <c r="H6" s="7" t="str">
        <f aca="false">IF(AND(D6=E6,ABS(F6-G6)&lt;0.5),"✔ OK","✘ Fix it")</f>
        <v>✘ Fix it</v>
      </c>
    </row>
    <row r="7" customFormat="false" ht="15" hidden="false" customHeight="false" outlineLevel="0" collapsed="false">
      <c r="A7" s="8" t="s">
        <v>268</v>
      </c>
      <c r="B7" s="7" t="n">
        <f aca="false">ROWS('T3c Road_Stg'!A5:A19)</f>
        <v>15</v>
      </c>
      <c r="C7" s="7" t="n">
        <f aca="false">COUNTIF('T3c Road_Stg'!P5:P19,"N")</f>
        <v>0</v>
      </c>
      <c r="D7" s="7" t="n">
        <f aca="false">COUNTIF('T3c Road_Stg'!P5:P19,"Y")</f>
        <v>0</v>
      </c>
      <c r="E7" s="42" t="n">
        <v>12</v>
      </c>
      <c r="F7" s="43" t="n">
        <f aca="false">SUMIF('T3c Road_Stg'!P5:P19,"Y",'T3c Road_Stg'!L5:L19)</f>
        <v>0</v>
      </c>
      <c r="G7" s="44" t="n">
        <v>76900</v>
      </c>
      <c r="H7" s="7" t="str">
        <f aca="false">IF(AND(D7=E7,ABS(F7-G7)&lt;0.5),"✔ OK","✘ Fix it")</f>
        <v>✘ Fix it</v>
      </c>
    </row>
    <row r="8" customFormat="false" ht="15" hidden="false" customHeight="false" outlineLevel="0" collapsed="false">
      <c r="A8" s="9" t="s">
        <v>269</v>
      </c>
      <c r="B8" s="10" t="n">
        <f aca="false">SUM(B5:B7)</f>
        <v>37</v>
      </c>
      <c r="C8" s="10" t="n">
        <f aca="false">SUM(C5:C7)</f>
        <v>0</v>
      </c>
      <c r="D8" s="10" t="n">
        <f aca="false">SUM(D5:D7)</f>
        <v>12</v>
      </c>
      <c r="E8" s="10" t="n">
        <f aca="false">SUM(E5:E7)</f>
        <v>34</v>
      </c>
      <c r="F8" s="45" t="n">
        <f aca="false">SUM(F5:F7)</f>
        <v>206500</v>
      </c>
      <c r="G8" s="45" t="n">
        <f aca="false">SUM(G5:G7)</f>
        <v>578650</v>
      </c>
      <c r="H8" s="46" t="str">
        <f aca="false">IF(AND(D8=34,ABS(F8-578650)&lt;0.5,B8-C8=D8),"✔ OK","✘ Fix it")</f>
        <v>✘ Fix it</v>
      </c>
    </row>
    <row r="10" customFormat="false" ht="15" hidden="false" customHeight="false" outlineLevel="0" collapsed="false">
      <c r="A10" s="9" t="s">
        <v>270</v>
      </c>
      <c r="F10" s="47" t="n">
        <f aca="false">F8/1000</f>
        <v>206.5</v>
      </c>
      <c r="G10" s="48" t="n">
        <v>578.65</v>
      </c>
      <c r="H10" s="7" t="str">
        <f aca="false">IF(ABS(F10-G10)&lt;0.001,"✔ OK","✘ Fix it")</f>
        <v>✘ Fix it</v>
      </c>
    </row>
    <row r="11" customFormat="false" ht="15" hidden="false" customHeight="true" outlineLevel="0" collapsed="false">
      <c r="A11" s="26" t="s">
        <v>271</v>
      </c>
      <c r="B11" s="26"/>
      <c r="C11" s="26"/>
      <c r="D11" s="26"/>
      <c r="E11" s="26"/>
      <c r="F11" s="26"/>
      <c r="G11" s="26"/>
      <c r="H11" s="26"/>
    </row>
    <row r="12" customFormat="false" ht="15" hidden="false" customHeight="false" outlineLevel="0" collapsed="false">
      <c r="A12" s="49" t="s">
        <v>272</v>
      </c>
    </row>
    <row r="14" customFormat="false" ht="31.5" hidden="false" customHeight="true" outlineLevel="0" collapsed="false">
      <c r="A14" s="6" t="s">
        <v>81</v>
      </c>
      <c r="B14" s="6" t="s">
        <v>203</v>
      </c>
      <c r="C14" s="6" t="s">
        <v>86</v>
      </c>
      <c r="D14" s="6" t="s">
        <v>273</v>
      </c>
      <c r="E14" s="6" t="s">
        <v>269</v>
      </c>
      <c r="F14" s="6" t="s">
        <v>274</v>
      </c>
      <c r="G14" s="6"/>
      <c r="H14" s="6" t="s">
        <v>267</v>
      </c>
    </row>
    <row r="15" customFormat="false" ht="15" hidden="false" customHeight="false" outlineLevel="0" collapsed="false">
      <c r="A15" s="9" t="s">
        <v>83</v>
      </c>
      <c r="B15" s="7" t="n">
        <f aca="false">COUNTIF('T3a Marine_Stg'!N5:N16,A15)</f>
        <v>0</v>
      </c>
      <c r="C15" s="7" t="n">
        <f aca="false">COUNTIF('T3b Rail_Stg'!N5:N14,A15)</f>
        <v>0</v>
      </c>
      <c r="D15" s="7" t="n">
        <f aca="false">COUNTIFS('T3c Road_Stg'!N5:N19,A15,'T3c Road_Stg'!P5:P19,"Y")</f>
        <v>0</v>
      </c>
      <c r="E15" s="10" t="n">
        <f aca="false">SUM(B15:D15)</f>
        <v>0</v>
      </c>
      <c r="F15" s="42" t="n">
        <v>22</v>
      </c>
      <c r="G15" s="8"/>
      <c r="H15" s="7" t="str">
        <f aca="false">IF(E15=F15,"✔ OK","✘ Fix it")</f>
        <v>✘ Fix it</v>
      </c>
    </row>
    <row r="16" customFormat="false" ht="15" hidden="false" customHeight="false" outlineLevel="0" collapsed="false">
      <c r="A16" s="9" t="s">
        <v>275</v>
      </c>
      <c r="B16" s="7" t="n">
        <f aca="false">COUNTIF('T3a Marine_Stg'!N5:N16,A16)</f>
        <v>0</v>
      </c>
      <c r="C16" s="7" t="n">
        <f aca="false">COUNTIF('T3b Rail_Stg'!N5:N14,A16)</f>
        <v>0</v>
      </c>
      <c r="D16" s="7" t="n">
        <f aca="false">COUNTIFS('T3c Road_Stg'!N5:N19,A16,'T3c Road_Stg'!P5:P19,"Y")</f>
        <v>0</v>
      </c>
      <c r="E16" s="10" t="n">
        <f aca="false">SUM(B16:D16)</f>
        <v>0</v>
      </c>
      <c r="F16" s="42" t="n">
        <v>8</v>
      </c>
      <c r="G16" s="8"/>
      <c r="H16" s="7" t="str">
        <f aca="false">IF(E16=F16,"✔ OK","✘ Fix it")</f>
        <v>✘ Fix it</v>
      </c>
    </row>
    <row r="17" customFormat="false" ht="15" hidden="false" customHeight="false" outlineLevel="0" collapsed="false">
      <c r="A17" s="9" t="s">
        <v>276</v>
      </c>
      <c r="B17" s="7" t="n">
        <f aca="false">COUNTIF('T3a Marine_Stg'!N5:N16,A17)</f>
        <v>0</v>
      </c>
      <c r="C17" s="7" t="n">
        <f aca="false">COUNTIF('T3b Rail_Stg'!N5:N14,A17)</f>
        <v>0</v>
      </c>
      <c r="D17" s="7" t="n">
        <f aca="false">COUNTIFS('T3c Road_Stg'!N5:N19,A17,'T3c Road_Stg'!P5:P19,"Y")</f>
        <v>0</v>
      </c>
      <c r="E17" s="10" t="n">
        <f aca="false">SUM(B17:D17)</f>
        <v>0</v>
      </c>
      <c r="F17" s="42" t="n">
        <v>4</v>
      </c>
      <c r="G17" s="8"/>
      <c r="H17" s="7" t="str">
        <f aca="false">IF(E17=F17,"✔ OK","✘ Fix it")</f>
        <v>✘ Fix it</v>
      </c>
    </row>
    <row r="18" customFormat="false" ht="15" hidden="false" customHeight="false" outlineLevel="0" collapsed="false">
      <c r="A18" s="9" t="s">
        <v>277</v>
      </c>
      <c r="E18" s="7" t="n">
        <f aca="false">COUNTIF('T3a Marine_Stg'!N5:N16,"?*")+COUNTIF('T3b Rail_Stg'!N5:N14,"?*")+COUNTIFS('T3c Road_Stg'!N5:N19,"?*",'T3c Road_Stg'!P5:P19,"Y")-SUM(E15:E17)</f>
        <v>0</v>
      </c>
      <c r="F18" s="42" t="n">
        <v>0</v>
      </c>
      <c r="G18" s="8"/>
      <c r="H18" s="7" t="str">
        <f aca="false">IF(AND(E18=0,E15+E16+E17=34),"✔ OK","✘ Fix it")</f>
        <v>✘ Fix it</v>
      </c>
    </row>
    <row r="20" customFormat="false" ht="15" hidden="false" customHeight="false" outlineLevel="0" collapsed="false">
      <c r="A20" s="9" t="s">
        <v>278</v>
      </c>
      <c r="B20" s="8" t="s">
        <v>279</v>
      </c>
      <c r="F20" s="50" t="n">
        <f aca="false">'T3a Marine_Stg'!I7</f>
        <v>0</v>
      </c>
      <c r="G20" s="51" t="n">
        <f aca="false">DATE(2026,2,3)</f>
        <v>46056</v>
      </c>
      <c r="H20" s="7" t="str">
        <f aca="false">IF(F20=G20,"✔ OK","✘ Fix it")</f>
        <v>✘ Fix it</v>
      </c>
    </row>
    <row r="21" customFormat="false" ht="15" hidden="false" customHeight="false" outlineLevel="0" collapsed="false">
      <c r="B21" s="8" t="s">
        <v>280</v>
      </c>
      <c r="F21" s="50" t="n">
        <f aca="false">'T3a Marine_Stg'!I16</f>
        <v>0</v>
      </c>
      <c r="G21" s="51" t="n">
        <f aca="false">DATE(2026,2,13)</f>
        <v>46066</v>
      </c>
      <c r="H21" s="7" t="str">
        <f aca="false">IF(F21=G21,"✔ OK","✘ Fix it")</f>
        <v>✘ Fix it</v>
      </c>
    </row>
  </sheetData>
  <mergeCells count="2">
    <mergeCell ref="A2:H2"/>
    <mergeCell ref="A11:H11"/>
  </mergeCells>
  <conditionalFormatting sqref="H5:H21">
    <cfRule type="expression" priority="2" aboveAverage="0" equalAverage="0" bottom="0" percent="0" rank="0" text="" dxfId="0">
      <formula>LEFT(H5,1)="✔"</formula>
    </cfRule>
    <cfRule type="expression" priority="3" aboveAverage="0" equalAverage="0" bottom="0" percent="0" rank="0" text="" dxfId="1">
      <formula>LEFT(H5,1)="✘"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1" t="s">
        <v>281</v>
      </c>
    </row>
    <row r="2" customFormat="false" ht="43.5" hidden="false" customHeight="true" outlineLevel="0" collapsed="false">
      <c r="A2" s="2" t="s">
        <v>282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6" t="s">
        <v>283</v>
      </c>
      <c r="B4" s="6" t="s">
        <v>284</v>
      </c>
      <c r="C4" s="6" t="s">
        <v>285</v>
      </c>
      <c r="D4" s="6" t="s">
        <v>286</v>
      </c>
      <c r="E4" s="6" t="s">
        <v>287</v>
      </c>
    </row>
    <row r="5" customFormat="false" ht="57.75" hidden="false" customHeight="true" outlineLevel="0" collapsed="false">
      <c r="A5" s="52" t="s">
        <v>288</v>
      </c>
      <c r="B5" s="11"/>
      <c r="C5" s="11"/>
      <c r="D5" s="11"/>
      <c r="E5" s="11"/>
    </row>
    <row r="6" customFormat="false" ht="57.75" hidden="false" customHeight="true" outlineLevel="0" collapsed="false">
      <c r="A6" s="52" t="s">
        <v>289</v>
      </c>
      <c r="B6" s="11"/>
      <c r="C6" s="11"/>
      <c r="D6" s="11"/>
      <c r="E6" s="11"/>
    </row>
    <row r="7" customFormat="false" ht="57.75" hidden="false" customHeight="true" outlineLevel="0" collapsed="false">
      <c r="A7" s="52" t="s">
        <v>290</v>
      </c>
      <c r="B7" s="11"/>
      <c r="C7" s="11"/>
      <c r="D7" s="11"/>
      <c r="E7" s="11"/>
    </row>
    <row r="8" customFormat="false" ht="57.75" hidden="false" customHeight="true" outlineLevel="0" collapsed="false">
      <c r="A8" s="52" t="s">
        <v>291</v>
      </c>
      <c r="B8" s="11"/>
      <c r="C8" s="11"/>
      <c r="D8" s="11"/>
      <c r="E8" s="11"/>
    </row>
    <row r="9" customFormat="false" ht="57.75" hidden="false" customHeight="true" outlineLevel="0" collapsed="false">
      <c r="A9" s="52" t="s">
        <v>292</v>
      </c>
      <c r="B9" s="11"/>
      <c r="C9" s="11"/>
      <c r="D9" s="11"/>
      <c r="E9" s="11"/>
    </row>
    <row r="11" customFormat="false" ht="15" hidden="false" customHeight="true" outlineLevel="0" collapsed="false">
      <c r="A11" s="9" t="s">
        <v>293</v>
      </c>
      <c r="B11" s="9"/>
      <c r="C11" s="9"/>
      <c r="D11" s="9"/>
      <c r="E11" s="9"/>
    </row>
    <row r="12" customFormat="false" ht="30" hidden="false" customHeight="true" outlineLevel="0" collapsed="false">
      <c r="A12" s="11"/>
      <c r="B12" s="11"/>
      <c r="C12" s="11"/>
      <c r="D12" s="11"/>
      <c r="E12" s="11"/>
    </row>
  </sheetData>
  <mergeCells count="3">
    <mergeCell ref="A2:F2"/>
    <mergeCell ref="A11:E1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1"/>
  </cols>
  <sheetData>
    <row r="1" customFormat="false" ht="27.75" hidden="false" customHeight="true" outlineLevel="0" collapsed="false">
      <c r="A1" s="1" t="s">
        <v>294</v>
      </c>
    </row>
    <row r="2" customFormat="false" ht="43.5" hidden="false" customHeight="true" outlineLevel="0" collapsed="false">
      <c r="A2" s="2" t="s">
        <v>295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6" t="s">
        <v>296</v>
      </c>
      <c r="B4" s="6" t="s">
        <v>69</v>
      </c>
      <c r="C4" s="6" t="s">
        <v>297</v>
      </c>
      <c r="D4" s="6" t="s">
        <v>298</v>
      </c>
      <c r="E4" s="6" t="s">
        <v>299</v>
      </c>
      <c r="F4" s="6" t="s">
        <v>300</v>
      </c>
      <c r="G4" s="6" t="s">
        <v>301</v>
      </c>
      <c r="H4" s="6" t="s">
        <v>302</v>
      </c>
      <c r="I4" s="6" t="s">
        <v>303</v>
      </c>
    </row>
    <row r="5" customFormat="false" ht="15" hidden="false" customHeight="false" outlineLevel="0" collapsed="false">
      <c r="A5" s="9" t="s">
        <v>304</v>
      </c>
      <c r="B5" s="10" t="s">
        <v>305</v>
      </c>
      <c r="C5" s="10" t="s">
        <v>305</v>
      </c>
      <c r="D5" s="10" t="s">
        <v>305</v>
      </c>
      <c r="E5" s="10" t="s">
        <v>305</v>
      </c>
      <c r="F5" s="10"/>
      <c r="G5" s="10" t="s">
        <v>305</v>
      </c>
      <c r="H5" s="10" t="s">
        <v>305</v>
      </c>
      <c r="I5" s="7" t="n">
        <f aca="false">COUNTIF(B5:H5,"X")</f>
        <v>6</v>
      </c>
    </row>
    <row r="6" customFormat="false" ht="15" hidden="false" customHeight="false" outlineLevel="0" collapsed="false">
      <c r="A6" s="9" t="s">
        <v>306</v>
      </c>
      <c r="B6" s="53"/>
      <c r="C6" s="53"/>
      <c r="D6" s="53"/>
      <c r="E6" s="53"/>
      <c r="F6" s="53"/>
      <c r="G6" s="53"/>
      <c r="H6" s="53"/>
      <c r="I6" s="7" t="n">
        <f aca="false">COUNTIF(B6:H6,"X")</f>
        <v>0</v>
      </c>
    </row>
    <row r="7" customFormat="false" ht="15" hidden="false" customHeight="false" outlineLevel="0" collapsed="false">
      <c r="A7" s="9" t="s">
        <v>307</v>
      </c>
      <c r="B7" s="53"/>
      <c r="C7" s="53"/>
      <c r="D7" s="53"/>
      <c r="E7" s="53"/>
      <c r="F7" s="53"/>
      <c r="G7" s="53"/>
      <c r="H7" s="53"/>
      <c r="I7" s="7" t="n">
        <f aca="false">COUNTIF(B7:H7,"X")</f>
        <v>0</v>
      </c>
    </row>
    <row r="8" customFormat="false" ht="15" hidden="false" customHeight="false" outlineLevel="0" collapsed="false">
      <c r="A8" s="9" t="s">
        <v>308</v>
      </c>
      <c r="B8" s="53"/>
      <c r="C8" s="53"/>
      <c r="D8" s="53"/>
      <c r="E8" s="53"/>
      <c r="F8" s="53"/>
      <c r="G8" s="53"/>
      <c r="H8" s="53"/>
      <c r="I8" s="7" t="n">
        <f aca="false">COUNTIF(B8:H8,"X")</f>
        <v>0</v>
      </c>
    </row>
    <row r="9" customFormat="false" ht="15" hidden="false" customHeight="false" outlineLevel="0" collapsed="false">
      <c r="A9" s="9" t="s">
        <v>309</v>
      </c>
      <c r="B9" s="53"/>
      <c r="C9" s="53"/>
      <c r="D9" s="53"/>
      <c r="E9" s="53"/>
      <c r="F9" s="53"/>
      <c r="G9" s="53"/>
      <c r="H9" s="53"/>
      <c r="I9" s="7" t="n">
        <f aca="false">COUNTIF(B9:H9,"X")</f>
        <v>0</v>
      </c>
    </row>
    <row r="10" customFormat="false" ht="15" hidden="false" customHeight="false" outlineLevel="0" collapsed="false">
      <c r="A10" s="9" t="s">
        <v>310</v>
      </c>
      <c r="B10" s="53"/>
      <c r="C10" s="53"/>
      <c r="D10" s="53"/>
      <c r="E10" s="53"/>
      <c r="F10" s="53"/>
      <c r="G10" s="53"/>
      <c r="H10" s="53"/>
      <c r="I10" s="7" t="n">
        <f aca="false">COUNTIF(B10:H10,"X")</f>
        <v>0</v>
      </c>
    </row>
    <row r="11" customFormat="false" ht="15" hidden="false" customHeight="false" outlineLevel="0" collapsed="false">
      <c r="A11" s="27" t="s">
        <v>311</v>
      </c>
      <c r="B11" s="54" t="n">
        <f aca="false">COUNTIF(B5:B10,"X")</f>
        <v>1</v>
      </c>
      <c r="C11" s="54" t="n">
        <f aca="false">COUNTIF(C5:C10,"X")</f>
        <v>1</v>
      </c>
      <c r="D11" s="54" t="n">
        <f aca="false">COUNTIF(D5:D10,"X")</f>
        <v>1</v>
      </c>
      <c r="E11" s="54" t="n">
        <f aca="false">COUNTIF(E5:E10,"X")</f>
        <v>1</v>
      </c>
      <c r="F11" s="54" t="n">
        <f aca="false">COUNTIF(F5:F10,"X")</f>
        <v>0</v>
      </c>
      <c r="G11" s="54" t="n">
        <f aca="false">COUNTIF(G5:G10,"X")</f>
        <v>1</v>
      </c>
      <c r="H11" s="54" t="n">
        <f aca="false">COUNTIF(H5:H10,"X")</f>
        <v>1</v>
      </c>
      <c r="I11" s="28"/>
    </row>
    <row r="12" customFormat="false" ht="15" hidden="false" customHeight="false" outlineLevel="0" collapsed="false">
      <c r="A12" s="49" t="s">
        <v>312</v>
      </c>
    </row>
    <row r="14" customFormat="false" ht="15" hidden="false" customHeight="true" outlineLevel="0" collapsed="false">
      <c r="A14" s="9" t="s">
        <v>313</v>
      </c>
      <c r="B14" s="9"/>
      <c r="C14" s="9"/>
      <c r="D14" s="9"/>
      <c r="E14" s="9"/>
      <c r="F14" s="9"/>
      <c r="G14" s="9"/>
      <c r="H14" s="9"/>
      <c r="I14" s="9"/>
    </row>
    <row r="15" customFormat="false" ht="27.7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</row>
    <row r="16" customFormat="false" ht="15" hidden="false" customHeight="true" outlineLevel="0" collapsed="false">
      <c r="A16" s="9" t="s">
        <v>314</v>
      </c>
      <c r="B16" s="9"/>
      <c r="C16" s="9"/>
      <c r="D16" s="9"/>
      <c r="E16" s="9"/>
      <c r="F16" s="9"/>
      <c r="G16" s="9"/>
      <c r="H16" s="9"/>
      <c r="I16" s="9"/>
    </row>
    <row r="17" customFormat="false" ht="27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</row>
    <row r="18" customFormat="false" ht="15" hidden="false" customHeight="true" outlineLevel="0" collapsed="false">
      <c r="A18" s="9" t="s">
        <v>315</v>
      </c>
      <c r="B18" s="9"/>
      <c r="C18" s="9"/>
      <c r="D18" s="9"/>
      <c r="E18" s="9"/>
      <c r="F18" s="9"/>
      <c r="G18" s="9"/>
      <c r="H18" s="9"/>
      <c r="I18" s="9"/>
    </row>
    <row r="19" customFormat="false" ht="27.7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</row>
    <row r="20" customFormat="false" ht="15" hidden="false" customHeight="true" outlineLevel="0" collapsed="false">
      <c r="A20" s="9" t="s">
        <v>316</v>
      </c>
      <c r="B20" s="9"/>
      <c r="C20" s="9"/>
      <c r="D20" s="9"/>
      <c r="E20" s="9"/>
      <c r="F20" s="9"/>
      <c r="G20" s="9"/>
      <c r="H20" s="9"/>
      <c r="I20" s="9"/>
    </row>
    <row r="21" customFormat="false" ht="27.7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</row>
  </sheetData>
  <mergeCells count="9">
    <mergeCell ref="A2:I2"/>
    <mergeCell ref="A14:I14"/>
    <mergeCell ref="A15:I15"/>
    <mergeCell ref="A16:I16"/>
    <mergeCell ref="A17:I17"/>
    <mergeCell ref="A18:I18"/>
    <mergeCell ref="A19:I19"/>
    <mergeCell ref="A20:I20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46"/>
  </cols>
  <sheetData>
    <row r="1" customFormat="false" ht="27.75" hidden="false" customHeight="true" outlineLevel="0" collapsed="false">
      <c r="A1" s="1" t="s">
        <v>317</v>
      </c>
    </row>
    <row r="2" customFormat="false" ht="43.5" hidden="false" customHeight="true" outlineLevel="0" collapsed="false">
      <c r="A2" s="2" t="s">
        <v>318</v>
      </c>
      <c r="B2" s="2"/>
      <c r="C2" s="2"/>
      <c r="D2" s="2"/>
    </row>
    <row r="4" customFormat="false" ht="31.5" hidden="false" customHeight="true" outlineLevel="0" collapsed="false">
      <c r="A4" s="6" t="s">
        <v>11</v>
      </c>
      <c r="B4" s="6" t="s">
        <v>319</v>
      </c>
      <c r="C4" s="6" t="s">
        <v>320</v>
      </c>
      <c r="D4" s="6" t="s">
        <v>321</v>
      </c>
    </row>
    <row r="5" customFormat="false" ht="31.5" hidden="false" customHeight="true" outlineLevel="0" collapsed="false">
      <c r="A5" s="7" t="n">
        <v>1</v>
      </c>
      <c r="B5" s="8" t="s">
        <v>322</v>
      </c>
      <c r="C5" s="53"/>
      <c r="D5" s="11"/>
    </row>
    <row r="6" customFormat="false" ht="31.5" hidden="false" customHeight="true" outlineLevel="0" collapsed="false">
      <c r="A6" s="7" t="n">
        <v>2</v>
      </c>
      <c r="B6" s="8" t="s">
        <v>323</v>
      </c>
      <c r="C6" s="53"/>
      <c r="D6" s="11"/>
    </row>
    <row r="7" customFormat="false" ht="31.5" hidden="false" customHeight="true" outlineLevel="0" collapsed="false">
      <c r="A7" s="7" t="n">
        <v>3</v>
      </c>
      <c r="B7" s="8" t="s">
        <v>324</v>
      </c>
      <c r="C7" s="53"/>
      <c r="D7" s="11"/>
    </row>
    <row r="8" customFormat="false" ht="31.5" hidden="false" customHeight="true" outlineLevel="0" collapsed="false">
      <c r="A8" s="7" t="n">
        <v>4</v>
      </c>
      <c r="B8" s="8" t="s">
        <v>325</v>
      </c>
      <c r="C8" s="53"/>
      <c r="D8" s="11"/>
    </row>
    <row r="9" customFormat="false" ht="31.5" hidden="false" customHeight="true" outlineLevel="0" collapsed="false">
      <c r="A9" s="7" t="n">
        <v>5</v>
      </c>
      <c r="B9" s="8" t="s">
        <v>326</v>
      </c>
      <c r="C9" s="53"/>
      <c r="D9" s="11"/>
    </row>
    <row r="10" customFormat="false" ht="31.5" hidden="false" customHeight="true" outlineLevel="0" collapsed="false">
      <c r="A10" s="7" t="n">
        <v>6</v>
      </c>
      <c r="B10" s="8" t="s">
        <v>327</v>
      </c>
      <c r="C10" s="53"/>
      <c r="D10" s="11"/>
    </row>
    <row r="11" customFormat="false" ht="31.5" hidden="false" customHeight="true" outlineLevel="0" collapsed="false">
      <c r="A11" s="7" t="n">
        <v>7</v>
      </c>
      <c r="B11" s="8" t="s">
        <v>328</v>
      </c>
      <c r="C11" s="53"/>
      <c r="D11" s="11"/>
    </row>
    <row r="12" customFormat="false" ht="31.5" hidden="false" customHeight="true" outlineLevel="0" collapsed="false">
      <c r="A12" s="7" t="n">
        <v>8</v>
      </c>
      <c r="B12" s="8" t="s">
        <v>329</v>
      </c>
      <c r="C12" s="53"/>
      <c r="D12" s="11"/>
    </row>
    <row r="13" customFormat="false" ht="31.5" hidden="false" customHeight="true" outlineLevel="0" collapsed="false">
      <c r="A13" s="7" t="n">
        <v>9</v>
      </c>
      <c r="B13" s="8" t="s">
        <v>330</v>
      </c>
      <c r="C13" s="53"/>
      <c r="D13" s="11"/>
    </row>
    <row r="14" customFormat="false" ht="31.5" hidden="false" customHeight="true" outlineLevel="0" collapsed="false">
      <c r="A14" s="7" t="n">
        <v>10</v>
      </c>
      <c r="B14" s="8" t="s">
        <v>331</v>
      </c>
      <c r="C14" s="53"/>
      <c r="D14" s="11"/>
    </row>
  </sheetData>
  <mergeCells count="1">
    <mergeCell ref="A2:D2"/>
  </mergeCells>
  <dataValidations count="1">
    <dataValidation allowBlank="true" errorStyle="stop" operator="between" showDropDown="false" showErrorMessage="false" showInputMessage="false" sqref="C5:C14" type="list">
      <formula1>"Inmon,Kimball,Hybrid"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2026-10-03T01:44:29Z</dcterms:created>
  <dc:creator>openpyxl</dc:creator>
  <dc:description/>
  <dc:language>en-US</dc:language>
  <cp:lastModifiedBy/>
  <dcterms:modified xsi:type="dcterms:W3CDTF">2026-10-03T01:44:29Z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